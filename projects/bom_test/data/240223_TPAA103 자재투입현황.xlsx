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909db781fd3afb/미공유/03_LCA 컨설팅/(주)영진테크 (SGS Korea)/3자 검증(SGS Korea)/SGS 발송용/증빙자료 모음/"/>
    </mc:Choice>
  </mc:AlternateContent>
  <xr:revisionPtr revIDLastSave="2" documentId="13_ncr:1_{06C1DEE5-890A-4545-B1D9-65105D450735}" xr6:coauthVersionLast="47" xr6:coauthVersionMax="47" xr10:uidLastSave="{1EE6C036-FCE5-4671-9D6D-C89FD06ABF45}"/>
  <bookViews>
    <workbookView minimized="1" xWindow="2200" yWindow="2200" windowWidth="14400" windowHeight="7270" xr2:uid="{2F6A0180-91EC-4E6B-BD04-ECA9586A657E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4" i="1" l="1"/>
  <c r="Q74" i="1" s="1"/>
  <c r="E74" i="1"/>
  <c r="D74" i="1" s="1"/>
  <c r="P73" i="1"/>
  <c r="Q73" i="1" s="1"/>
  <c r="BV72" i="1"/>
  <c r="BT72" i="1"/>
  <c r="BR72" i="1"/>
  <c r="BP72" i="1"/>
  <c r="P72" i="1"/>
  <c r="Q72" i="1" s="1"/>
  <c r="P71" i="1"/>
  <c r="Q71" i="1" s="1"/>
  <c r="P70" i="1"/>
  <c r="Q70" i="1" s="1"/>
  <c r="BV69" i="1"/>
  <c r="BU69" i="1"/>
  <c r="BT69" i="1"/>
  <c r="BS69" i="1"/>
  <c r="BR69" i="1"/>
  <c r="BQ69" i="1"/>
  <c r="BP69" i="1"/>
  <c r="BO69" i="1"/>
  <c r="P69" i="1"/>
  <c r="Q69" i="1" s="1"/>
  <c r="Q68" i="1"/>
  <c r="BV67" i="1"/>
  <c r="BU67" i="1"/>
  <c r="BT67" i="1"/>
  <c r="BS67" i="1"/>
  <c r="BR67" i="1"/>
  <c r="BQ67" i="1"/>
  <c r="BP67" i="1"/>
  <c r="BO67" i="1"/>
  <c r="P67" i="1"/>
  <c r="Q67" i="1" s="1"/>
  <c r="R68" i="1" s="1"/>
  <c r="BV66" i="1"/>
  <c r="BU66" i="1"/>
  <c r="BT66" i="1"/>
  <c r="BS66" i="1"/>
  <c r="BR66" i="1"/>
  <c r="BQ66" i="1"/>
  <c r="BP66" i="1"/>
  <c r="BO66" i="1"/>
  <c r="P66" i="1"/>
  <c r="Q66" i="1" s="1"/>
  <c r="Q65" i="1"/>
  <c r="BV64" i="1"/>
  <c r="BU64" i="1"/>
  <c r="BT64" i="1"/>
  <c r="BS64" i="1"/>
  <c r="BR64" i="1"/>
  <c r="BQ64" i="1"/>
  <c r="BP64" i="1"/>
  <c r="BO64" i="1"/>
  <c r="P64" i="1"/>
  <c r="Q64" i="1" s="1"/>
  <c r="R65" i="1" s="1"/>
  <c r="BV63" i="1"/>
  <c r="BU63" i="1"/>
  <c r="BT63" i="1"/>
  <c r="BS63" i="1"/>
  <c r="BR63" i="1"/>
  <c r="BQ63" i="1"/>
  <c r="BP63" i="1"/>
  <c r="BO63" i="1"/>
  <c r="P63" i="1"/>
  <c r="Q63" i="1" s="1"/>
  <c r="BV62" i="1"/>
  <c r="BU62" i="1"/>
  <c r="BT62" i="1"/>
  <c r="BS62" i="1"/>
  <c r="BR62" i="1"/>
  <c r="BQ62" i="1"/>
  <c r="BP62" i="1"/>
  <c r="BO62" i="1"/>
  <c r="P62" i="1"/>
  <c r="Q62" i="1" s="1"/>
  <c r="F62" i="1"/>
  <c r="F64" i="1" s="1"/>
  <c r="F66" i="1" s="1"/>
  <c r="F67" i="1" s="1"/>
  <c r="F69" i="1" s="1"/>
  <c r="F70" i="1" s="1"/>
  <c r="BR61" i="1"/>
  <c r="BP61" i="1"/>
  <c r="P61" i="1"/>
  <c r="Q61" i="1" s="1"/>
  <c r="E61" i="1"/>
  <c r="E62" i="1" s="1"/>
  <c r="P60" i="1"/>
  <c r="Q60" i="1" s="1"/>
  <c r="D60" i="1"/>
  <c r="C60" i="1"/>
  <c r="P59" i="1"/>
  <c r="Q59" i="1" s="1"/>
  <c r="BV58" i="1"/>
  <c r="BT58" i="1"/>
  <c r="BR58" i="1"/>
  <c r="BP58" i="1"/>
  <c r="P58" i="1"/>
  <c r="Q58" i="1" s="1"/>
  <c r="P57" i="1"/>
  <c r="Q57" i="1" s="1"/>
  <c r="P56" i="1"/>
  <c r="Q56" i="1" s="1"/>
  <c r="Q55" i="1"/>
  <c r="BV54" i="1"/>
  <c r="BU54" i="1"/>
  <c r="BT54" i="1"/>
  <c r="BS54" i="1"/>
  <c r="BR54" i="1"/>
  <c r="BQ54" i="1"/>
  <c r="BP54" i="1"/>
  <c r="BO54" i="1"/>
  <c r="P54" i="1"/>
  <c r="Q54" i="1" s="1"/>
  <c r="R55" i="1" s="1"/>
  <c r="BV53" i="1"/>
  <c r="BU53" i="1"/>
  <c r="BT53" i="1"/>
  <c r="BS53" i="1"/>
  <c r="BR53" i="1"/>
  <c r="BQ53" i="1"/>
  <c r="BP53" i="1"/>
  <c r="BO53" i="1"/>
  <c r="P53" i="1"/>
  <c r="Q53" i="1" s="1"/>
  <c r="F53" i="1"/>
  <c r="Q52" i="1"/>
  <c r="BV51" i="1"/>
  <c r="BU51" i="1"/>
  <c r="BT51" i="1"/>
  <c r="BS51" i="1"/>
  <c r="BR51" i="1"/>
  <c r="BQ51" i="1"/>
  <c r="BP51" i="1"/>
  <c r="BO51" i="1"/>
  <c r="P51" i="1"/>
  <c r="Q51" i="1" s="1"/>
  <c r="R52" i="1" s="1"/>
  <c r="BV50" i="1"/>
  <c r="BU50" i="1"/>
  <c r="BT50" i="1"/>
  <c r="BS50" i="1"/>
  <c r="BR50" i="1"/>
  <c r="BQ50" i="1"/>
  <c r="BP50" i="1"/>
  <c r="BO50" i="1"/>
  <c r="P50" i="1"/>
  <c r="Q50" i="1" s="1"/>
  <c r="BV49" i="1"/>
  <c r="BU49" i="1"/>
  <c r="BT49" i="1"/>
  <c r="BS49" i="1"/>
  <c r="BR49" i="1"/>
  <c r="BQ49" i="1"/>
  <c r="BP49" i="1"/>
  <c r="BO49" i="1"/>
  <c r="P49" i="1"/>
  <c r="Q49" i="1" s="1"/>
  <c r="Q48" i="1"/>
  <c r="BV47" i="1"/>
  <c r="BU47" i="1"/>
  <c r="BT47" i="1"/>
  <c r="BS47" i="1"/>
  <c r="BR47" i="1"/>
  <c r="BQ47" i="1"/>
  <c r="BP47" i="1"/>
  <c r="BO47" i="1"/>
  <c r="P47" i="1"/>
  <c r="Q47" i="1" s="1"/>
  <c r="R48" i="1" s="1"/>
  <c r="BV46" i="1"/>
  <c r="BU46" i="1"/>
  <c r="BT46" i="1"/>
  <c r="BS46" i="1"/>
  <c r="BR46" i="1"/>
  <c r="BQ46" i="1"/>
  <c r="BP46" i="1"/>
  <c r="BO46" i="1"/>
  <c r="P46" i="1"/>
  <c r="Q46" i="1" s="1"/>
  <c r="BV45" i="1"/>
  <c r="BU45" i="1"/>
  <c r="BT45" i="1"/>
  <c r="BS45" i="1"/>
  <c r="BR45" i="1"/>
  <c r="BQ45" i="1"/>
  <c r="BP45" i="1"/>
  <c r="BO45" i="1"/>
  <c r="P45" i="1"/>
  <c r="Q45" i="1" s="1"/>
  <c r="F45" i="1"/>
  <c r="F47" i="1" s="1"/>
  <c r="F51" i="1" s="1"/>
  <c r="BR44" i="1"/>
  <c r="BP44" i="1"/>
  <c r="P44" i="1"/>
  <c r="Q44" i="1" s="1"/>
  <c r="E44" i="1"/>
  <c r="E45" i="1" s="1"/>
  <c r="D44" i="1"/>
  <c r="C44" i="1"/>
  <c r="P43" i="1"/>
  <c r="Q43" i="1" s="1"/>
  <c r="D43" i="1"/>
  <c r="C43" i="1"/>
  <c r="P42" i="1"/>
  <c r="Q42" i="1" s="1"/>
  <c r="P41" i="1"/>
  <c r="Q41" i="1" s="1"/>
  <c r="P40" i="1"/>
  <c r="Q40" i="1" s="1"/>
  <c r="E40" i="1"/>
  <c r="E41" i="1" s="1"/>
  <c r="P38" i="1"/>
  <c r="Q38" i="1" s="1"/>
  <c r="D38" i="1"/>
  <c r="C38" i="1"/>
  <c r="B38" i="1"/>
  <c r="Q37" i="1"/>
  <c r="P36" i="1"/>
  <c r="Q36" i="1" s="1"/>
  <c r="P35" i="1"/>
  <c r="Q35" i="1" s="1"/>
  <c r="P34" i="1"/>
  <c r="Q34" i="1" s="1"/>
  <c r="P33" i="1"/>
  <c r="Q33" i="1" s="1"/>
  <c r="R37" i="1" s="1"/>
  <c r="P32" i="1"/>
  <c r="Q32" i="1" s="1"/>
  <c r="P31" i="1"/>
  <c r="Q31" i="1" s="1"/>
  <c r="P30" i="1"/>
  <c r="Q30" i="1" s="1"/>
  <c r="P29" i="1"/>
  <c r="Q29" i="1" s="1"/>
  <c r="Q28" i="1"/>
  <c r="P27" i="1"/>
  <c r="Q27" i="1" s="1"/>
  <c r="R28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Q20" i="1"/>
  <c r="P19" i="1"/>
  <c r="Q19" i="1" s="1"/>
  <c r="R20" i="1" s="1"/>
  <c r="P18" i="1"/>
  <c r="Q18" i="1" s="1"/>
  <c r="Q17" i="1"/>
  <c r="P16" i="1"/>
  <c r="Q16" i="1" s="1"/>
  <c r="R17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Q8" i="1"/>
  <c r="P7" i="1"/>
  <c r="Q7" i="1" s="1"/>
  <c r="R8" i="1" s="1"/>
  <c r="P6" i="1"/>
  <c r="Q6" i="1" s="1"/>
  <c r="F6" i="1"/>
  <c r="F7" i="1" s="1"/>
  <c r="BP48" i="1" l="1"/>
  <c r="BR68" i="1"/>
  <c r="BQ68" i="1" s="1"/>
  <c r="BP65" i="1"/>
  <c r="F9" i="1"/>
  <c r="F10" i="1" s="1"/>
  <c r="F18" i="1" s="1"/>
  <c r="F25" i="1" s="1"/>
  <c r="BV55" i="1"/>
  <c r="E46" i="1"/>
  <c r="B46" i="1" s="1"/>
  <c r="C45" i="1"/>
  <c r="BO68" i="1"/>
  <c r="BR65" i="1"/>
  <c r="BQ44" i="1"/>
  <c r="BP55" i="1"/>
  <c r="BV48" i="1"/>
  <c r="C40" i="1"/>
  <c r="BO55" i="1"/>
  <c r="BT65" i="1"/>
  <c r="BV52" i="1"/>
  <c r="BS65" i="1"/>
  <c r="BP68" i="1"/>
  <c r="BT55" i="1"/>
  <c r="BO65" i="1"/>
  <c r="BO70" i="1" s="1"/>
  <c r="D45" i="1"/>
  <c r="BQ72" i="1"/>
  <c r="BU72" i="1"/>
  <c r="BS68" i="1"/>
  <c r="BQ58" i="1"/>
  <c r="BT68" i="1"/>
  <c r="BR48" i="1"/>
  <c r="BU58" i="1"/>
  <c r="BV68" i="1"/>
  <c r="BS48" i="1"/>
  <c r="BP52" i="1"/>
  <c r="BR52" i="1"/>
  <c r="BT52" i="1"/>
  <c r="B45" i="1"/>
  <c r="C74" i="1"/>
  <c r="BO52" i="1"/>
  <c r="BR55" i="1"/>
  <c r="BO48" i="1"/>
  <c r="BT48" i="1"/>
  <c r="BS55" i="1"/>
  <c r="BQ61" i="1"/>
  <c r="BS52" i="1"/>
  <c r="BQ48" i="1"/>
  <c r="E63" i="1"/>
  <c r="D62" i="1"/>
  <c r="C62" i="1"/>
  <c r="B62" i="1"/>
  <c r="E6" i="1"/>
  <c r="BQ65" i="1"/>
  <c r="E42" i="1"/>
  <c r="D41" i="1"/>
  <c r="C41" i="1"/>
  <c r="BV65" i="1"/>
  <c r="F46" i="1"/>
  <c r="C61" i="1"/>
  <c r="D61" i="1"/>
  <c r="D40" i="1"/>
  <c r="F63" i="1"/>
  <c r="BS70" i="1" l="1"/>
  <c r="BU55" i="1"/>
  <c r="BU48" i="1"/>
  <c r="F11" i="1"/>
  <c r="BR70" i="1"/>
  <c r="E47" i="1"/>
  <c r="B47" i="1" s="1"/>
  <c r="BP70" i="1"/>
  <c r="C46" i="1"/>
  <c r="D46" i="1"/>
  <c r="BO56" i="1"/>
  <c r="BV56" i="1"/>
  <c r="BU56" i="1" s="1"/>
  <c r="BP56" i="1"/>
  <c r="BT56" i="1"/>
  <c r="BQ55" i="1"/>
  <c r="BR56" i="1"/>
  <c r="BR57" i="1" s="1"/>
  <c r="BR60" i="1" s="1"/>
  <c r="BS56" i="1"/>
  <c r="BU52" i="1"/>
  <c r="BT70" i="1"/>
  <c r="BQ52" i="1"/>
  <c r="BU68" i="1"/>
  <c r="BQ70" i="1"/>
  <c r="BR71" i="1"/>
  <c r="BR73" i="1" s="1"/>
  <c r="D47" i="1"/>
  <c r="C47" i="1"/>
  <c r="F19" i="1"/>
  <c r="F12" i="1"/>
  <c r="F21" i="1"/>
  <c r="E64" i="1"/>
  <c r="D63" i="1"/>
  <c r="C63" i="1"/>
  <c r="B63" i="1"/>
  <c r="F27" i="1"/>
  <c r="F32" i="1"/>
  <c r="F50" i="1"/>
  <c r="F49" i="1"/>
  <c r="F54" i="1" s="1"/>
  <c r="F56" i="1"/>
  <c r="B6" i="1"/>
  <c r="E7" i="1"/>
  <c r="D6" i="1"/>
  <c r="C6" i="1"/>
  <c r="BV70" i="1"/>
  <c r="BU65" i="1"/>
  <c r="D42" i="1"/>
  <c r="B42" i="1" s="1"/>
  <c r="C42" i="1"/>
  <c r="BV57" i="1" l="1"/>
  <c r="BV60" i="1" s="1"/>
  <c r="E48" i="1"/>
  <c r="BQ56" i="1"/>
  <c r="BV61" i="1"/>
  <c r="BV71" i="1"/>
  <c r="BU70" i="1"/>
  <c r="D64" i="1"/>
  <c r="E65" i="1"/>
  <c r="C64" i="1"/>
  <c r="B64" i="1"/>
  <c r="F15" i="1"/>
  <c r="F13" i="1"/>
  <c r="F22" i="1"/>
  <c r="BR59" i="1"/>
  <c r="F29" i="1"/>
  <c r="F38" i="1" s="1"/>
  <c r="F33" i="1"/>
  <c r="F34" i="1" s="1"/>
  <c r="F35" i="1" s="1"/>
  <c r="F36" i="1" s="1"/>
  <c r="F30" i="1"/>
  <c r="F31" i="1"/>
  <c r="D7" i="1"/>
  <c r="C7" i="1"/>
  <c r="E8" i="1"/>
  <c r="C8" i="1" s="1"/>
  <c r="B7" i="1"/>
  <c r="E9" i="1"/>
  <c r="E50" i="1"/>
  <c r="E49" i="1"/>
  <c r="C48" i="1"/>
  <c r="BV73" i="1" l="1"/>
  <c r="E10" i="1"/>
  <c r="D9" i="1"/>
  <c r="C9" i="1"/>
  <c r="B9" i="1"/>
  <c r="E66" i="1"/>
  <c r="C65" i="1"/>
  <c r="BV44" i="1"/>
  <c r="F16" i="1"/>
  <c r="F24" i="1" s="1"/>
  <c r="F26" i="1" s="1"/>
  <c r="F14" i="1"/>
  <c r="F23" i="1"/>
  <c r="D49" i="1"/>
  <c r="C49" i="1"/>
  <c r="E51" i="1"/>
  <c r="B49" i="1"/>
  <c r="E53" i="1"/>
  <c r="D50" i="1"/>
  <c r="C50" i="1"/>
  <c r="B50" i="1"/>
  <c r="E52" i="1" l="1"/>
  <c r="C52" i="1" s="1"/>
  <c r="E54" i="1"/>
  <c r="D51" i="1"/>
  <c r="C51" i="1"/>
  <c r="B51" i="1"/>
  <c r="D53" i="1"/>
  <c r="C53" i="1"/>
  <c r="B53" i="1"/>
  <c r="E67" i="1"/>
  <c r="D66" i="1"/>
  <c r="C66" i="1"/>
  <c r="B66" i="1"/>
  <c r="D10" i="1"/>
  <c r="C10" i="1"/>
  <c r="B10" i="1"/>
  <c r="E11" i="1"/>
  <c r="BV59" i="1"/>
  <c r="D67" i="1" l="1"/>
  <c r="E68" i="1"/>
  <c r="C67" i="1"/>
  <c r="B67" i="1"/>
  <c r="C11" i="1"/>
  <c r="B11" i="1"/>
  <c r="E12" i="1"/>
  <c r="D11" i="1"/>
  <c r="D54" i="1"/>
  <c r="C54" i="1"/>
  <c r="B54" i="1"/>
  <c r="E56" i="1"/>
  <c r="E55" i="1"/>
  <c r="C55" i="1" s="1"/>
  <c r="B12" i="1" l="1"/>
  <c r="E15" i="1"/>
  <c r="E13" i="1"/>
  <c r="D12" i="1"/>
  <c r="C12" i="1"/>
  <c r="BT57" i="1"/>
  <c r="BP57" i="1"/>
  <c r="E57" i="1"/>
  <c r="D56" i="1"/>
  <c r="C56" i="1"/>
  <c r="B56" i="1"/>
  <c r="E69" i="1"/>
  <c r="C68" i="1"/>
  <c r="E70" i="1" l="1"/>
  <c r="D69" i="1"/>
  <c r="C69" i="1"/>
  <c r="B69" i="1"/>
  <c r="D15" i="1"/>
  <c r="C15" i="1"/>
  <c r="B15" i="1"/>
  <c r="E58" i="1"/>
  <c r="D57" i="1"/>
  <c r="C57" i="1"/>
  <c r="BO57" i="1"/>
  <c r="BP59" i="1"/>
  <c r="BQ57" i="1"/>
  <c r="BS57" i="1"/>
  <c r="BU57" i="1"/>
  <c r="D13" i="1"/>
  <c r="C13" i="1"/>
  <c r="B13" i="1"/>
  <c r="E16" i="1"/>
  <c r="E14" i="1"/>
  <c r="E59" i="1" l="1"/>
  <c r="D58" i="1"/>
  <c r="C58" i="1"/>
  <c r="BT44" i="1"/>
  <c r="BQ59" i="1"/>
  <c r="D14" i="1"/>
  <c r="C14" i="1"/>
  <c r="B14" i="1"/>
  <c r="D16" i="1"/>
  <c r="C16" i="1"/>
  <c r="B16" i="1"/>
  <c r="E17" i="1"/>
  <c r="E71" i="1"/>
  <c r="D70" i="1"/>
  <c r="C70" i="1"/>
  <c r="B70" i="1"/>
  <c r="BT71" i="1"/>
  <c r="BP71" i="1"/>
  <c r="D59" i="1" l="1"/>
  <c r="B59" i="1" s="1"/>
  <c r="C59" i="1"/>
  <c r="E72" i="1"/>
  <c r="D71" i="1"/>
  <c r="C71" i="1"/>
  <c r="BO71" i="1"/>
  <c r="BP73" i="1"/>
  <c r="BQ71" i="1"/>
  <c r="BT59" i="1"/>
  <c r="BU44" i="1"/>
  <c r="BS71" i="1"/>
  <c r="BU71" i="1"/>
  <c r="E18" i="1"/>
  <c r="C17" i="1"/>
  <c r="BU59" i="1" l="1"/>
  <c r="BT61" i="1"/>
  <c r="BQ73" i="1"/>
  <c r="E73" i="1"/>
  <c r="D72" i="1"/>
  <c r="C72" i="1"/>
  <c r="E19" i="1"/>
  <c r="D18" i="1"/>
  <c r="C18" i="1"/>
  <c r="B18" i="1"/>
  <c r="E21" i="1"/>
  <c r="BT73" i="1" l="1"/>
  <c r="BU61" i="1"/>
  <c r="C21" i="1"/>
  <c r="B21" i="1"/>
  <c r="E22" i="1"/>
  <c r="D21" i="1"/>
  <c r="D19" i="1"/>
  <c r="C19" i="1"/>
  <c r="E20" i="1"/>
  <c r="C20" i="1" s="1"/>
  <c r="B19" i="1"/>
  <c r="D73" i="1"/>
  <c r="B73" i="1" s="1"/>
  <c r="C73" i="1"/>
  <c r="E23" i="1" l="1"/>
  <c r="D22" i="1"/>
  <c r="C22" i="1"/>
  <c r="B22" i="1"/>
  <c r="BU73" i="1"/>
  <c r="D23" i="1" l="1"/>
  <c r="C23" i="1"/>
  <c r="B23" i="1"/>
  <c r="E24" i="1"/>
  <c r="D24" i="1" l="1"/>
  <c r="C24" i="1"/>
  <c r="B24" i="1"/>
  <c r="E25" i="1"/>
  <c r="E26" i="1"/>
  <c r="D26" i="1" l="1"/>
  <c r="C26" i="1"/>
  <c r="B26" i="1"/>
  <c r="E27" i="1"/>
  <c r="D25" i="1"/>
  <c r="C25" i="1"/>
  <c r="B25" i="1"/>
  <c r="D27" i="1" l="1"/>
  <c r="C27" i="1"/>
  <c r="B27" i="1"/>
  <c r="E28" i="1"/>
  <c r="E29" i="1" l="1"/>
  <c r="C28" i="1"/>
  <c r="D29" i="1" l="1"/>
  <c r="C29" i="1"/>
  <c r="B29" i="1"/>
  <c r="E30" i="1"/>
  <c r="D30" i="1" l="1"/>
  <c r="C30" i="1"/>
  <c r="B30" i="1"/>
  <c r="E31" i="1"/>
  <c r="E32" i="1" l="1"/>
  <c r="D31" i="1"/>
  <c r="C31" i="1"/>
  <c r="B31" i="1"/>
  <c r="D32" i="1" l="1"/>
  <c r="C32" i="1"/>
  <c r="B32" i="1"/>
  <c r="E33" i="1"/>
  <c r="E34" i="1"/>
  <c r="E35" i="1"/>
  <c r="D34" i="1" l="1"/>
  <c r="C34" i="1"/>
  <c r="B34" i="1"/>
  <c r="D35" i="1"/>
  <c r="C35" i="1"/>
  <c r="B35" i="1"/>
  <c r="E36" i="1"/>
  <c r="D33" i="1"/>
  <c r="C33" i="1"/>
  <c r="B33" i="1"/>
  <c r="D36" i="1" l="1"/>
  <c r="C36" i="1"/>
  <c r="B36" i="1"/>
  <c r="E37" i="1"/>
  <c r="C37" i="1" s="1"/>
</calcChain>
</file>

<file path=xl/sharedStrings.xml><?xml version="1.0" encoding="utf-8"?>
<sst xmlns="http://schemas.openxmlformats.org/spreadsheetml/2006/main" count="247" uniqueCount="92">
  <si>
    <t xml:space="preserve">    개별 생산 내역 TREND</t>
    <phoneticPr fontId="7" type="noConversion"/>
  </si>
  <si>
    <t>2022.01</t>
    <phoneticPr fontId="10" type="noConversion"/>
  </si>
  <si>
    <t>2022.02</t>
    <phoneticPr fontId="10" type="noConversion"/>
  </si>
  <si>
    <t>2022.03</t>
    <phoneticPr fontId="10" type="noConversion"/>
  </si>
  <si>
    <t>2022.04</t>
    <phoneticPr fontId="10" type="noConversion"/>
  </si>
  <si>
    <t>2022.10</t>
    <phoneticPr fontId="7" type="noConversion"/>
  </si>
  <si>
    <t>2022.11</t>
    <phoneticPr fontId="7" type="noConversion"/>
  </si>
  <si>
    <t>2022.12</t>
    <phoneticPr fontId="7" type="noConversion"/>
  </si>
  <si>
    <t>2023.01</t>
    <phoneticPr fontId="10" type="noConversion"/>
  </si>
  <si>
    <t>모규격</t>
  </si>
  <si>
    <t>모품번</t>
  </si>
  <si>
    <t>모품명</t>
  </si>
  <si>
    <t>모단위</t>
  </si>
  <si>
    <t>생산수량</t>
  </si>
  <si>
    <t>단위재료비</t>
  </si>
  <si>
    <t>재료비</t>
  </si>
  <si>
    <t>자품번</t>
  </si>
  <si>
    <t>품번</t>
    <phoneticPr fontId="10" type="noConversion"/>
  </si>
  <si>
    <t>구분</t>
    <phoneticPr fontId="10" type="noConversion"/>
  </si>
  <si>
    <t>자품명</t>
  </si>
  <si>
    <t>비중</t>
  </si>
  <si>
    <t>사용량</t>
  </si>
  <si>
    <t>사용단가</t>
  </si>
  <si>
    <t>사용금액</t>
  </si>
  <si>
    <t>TPAA103</t>
    <phoneticPr fontId="10" type="noConversion"/>
  </si>
  <si>
    <t>TPAA103</t>
  </si>
  <si>
    <t>KG</t>
  </si>
  <si>
    <t>3402104</t>
  </si>
  <si>
    <t>MPPO JM-594L</t>
  </si>
  <si>
    <t>3402105</t>
  </si>
  <si>
    <t>MPPO JM-595M</t>
  </si>
  <si>
    <t>3403301</t>
  </si>
  <si>
    <t>MPPO&lt;C&gt;</t>
  </si>
  <si>
    <t>3403303</t>
  </si>
  <si>
    <t>MPPO&lt;K&gt;</t>
  </si>
  <si>
    <t>3403305</t>
  </si>
  <si>
    <t>MPPO&lt;S&gt;</t>
  </si>
  <si>
    <t>3403309</t>
  </si>
  <si>
    <t>MPPO&lt;EK&gt;</t>
  </si>
  <si>
    <t>3403311</t>
  </si>
  <si>
    <t>MPPO&lt;DW&gt;</t>
  </si>
  <si>
    <t>3403323</t>
  </si>
  <si>
    <t>MPPO&lt;PK&gt;</t>
  </si>
  <si>
    <t>MPSU(B)</t>
  </si>
  <si>
    <t>3403313</t>
  </si>
  <si>
    <t>MPPO&lt;GF-A&gt;</t>
  </si>
  <si>
    <t>3414085</t>
  </si>
  <si>
    <t>YJ-5085AN</t>
  </si>
  <si>
    <t>YJ-5085AKG</t>
  </si>
  <si>
    <t>3457002</t>
  </si>
  <si>
    <t>C/F S-75(YJC-205)</t>
  </si>
  <si>
    <t>3457011</t>
  </si>
  <si>
    <t>ACECA-6PU</t>
  </si>
  <si>
    <t>3457015</t>
  </si>
  <si>
    <t>RCA(ZOLTEK)</t>
  </si>
  <si>
    <t>3457017</t>
  </si>
  <si>
    <t>C/F DIC(201)</t>
  </si>
  <si>
    <t>3457031</t>
  </si>
  <si>
    <t>C/F CT+SM45D-06-50</t>
  </si>
  <si>
    <t>3457001</t>
  </si>
  <si>
    <t>C/F 통합품</t>
  </si>
  <si>
    <t>3457041</t>
  </si>
  <si>
    <t>C/F KRC-U12(TEIJIN)</t>
  </si>
  <si>
    <t>G/F KCC-CS311/395</t>
  </si>
  <si>
    <t>3459011</t>
  </si>
  <si>
    <t>T435N(태산)</t>
  </si>
  <si>
    <t>G/F T436(태산)</t>
  </si>
  <si>
    <t>CS04-910 10P</t>
  </si>
  <si>
    <t>CS 995-10P</t>
  </si>
  <si>
    <t>3459029</t>
  </si>
  <si>
    <t>G/F Changhai (중국)</t>
  </si>
  <si>
    <t>3459031</t>
  </si>
  <si>
    <t>G/F HP3786 (대만)</t>
  </si>
  <si>
    <t>국내G/F(NEG,OWENS,KCC)</t>
  </si>
  <si>
    <t>1103067</t>
  </si>
  <si>
    <t>생산투입</t>
    <phoneticPr fontId="10" type="noConversion"/>
  </si>
  <si>
    <t>실사 재고 수량으로 조정</t>
  </si>
  <si>
    <t>Loss</t>
    <phoneticPr fontId="10" type="noConversion"/>
  </si>
  <si>
    <t>출고</t>
    <phoneticPr fontId="10" type="noConversion"/>
  </si>
  <si>
    <t>당월재고/단가</t>
    <phoneticPr fontId="10" type="noConversion"/>
  </si>
  <si>
    <t>분석</t>
    <phoneticPr fontId="10" type="noConversion"/>
  </si>
  <si>
    <t>TPAA103(외주)</t>
    <phoneticPr fontId="10" type="noConversion"/>
  </si>
  <si>
    <t>TPAA103(외주)</t>
  </si>
  <si>
    <t>전월재고/단가</t>
    <phoneticPr fontId="10" type="noConversion"/>
  </si>
  <si>
    <t>MPPO&lt;KC&gt;</t>
  </si>
  <si>
    <t>MPPO&lt;GF&gt;</t>
  </si>
  <si>
    <t>3459002</t>
  </si>
  <si>
    <t>G/F T435N(태산)</t>
  </si>
  <si>
    <t>TPAA130</t>
    <phoneticPr fontId="10" type="noConversion"/>
  </si>
  <si>
    <t>TPAA130</t>
  </si>
  <si>
    <t>3414101</t>
  </si>
  <si>
    <t>TSRC 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</si>
</sst>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%"/>
    <numFmt numFmtId="177" formatCode="#,##0_ ;[Red]\-#,##0\ "/>
    <numFmt numFmtId="178" formatCode="###,##0.00"/>
    <numFmt numFmtId="179" formatCode="###,##0"/>
    <numFmt numFmtId="180" formatCode="#,##0.00_ "/>
    <numFmt numFmtId="181" formatCode="_-* #,##0.00_-;\-* #,##0.00_-;_-* &quot;-&quot;_-;_-@_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9"/>
      <color theme="0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20"/>
      <color theme="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b/>
      <sz val="9"/>
      <color indexed="63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3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thin">
        <color indexed="63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hair">
        <color indexed="64"/>
      </right>
      <top style="thin">
        <color indexed="22"/>
      </top>
      <bottom style="medium">
        <color indexed="64"/>
      </bottom>
      <diagonal/>
    </border>
    <border>
      <left style="hair">
        <color indexed="64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rgb="FFFF0000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medium">
        <color rgb="FFFF0000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rgb="FFFF0000"/>
      </right>
      <top/>
      <bottom/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auto="1"/>
      </bottom>
      <diagonal/>
    </border>
    <border>
      <left style="thin">
        <color indexed="22"/>
      </left>
      <right style="hair">
        <color indexed="64"/>
      </right>
      <top/>
      <bottom style="thin">
        <color indexed="22"/>
      </bottom>
      <diagonal/>
    </border>
    <border>
      <left style="hair">
        <color indexed="64"/>
      </left>
      <right/>
      <top/>
      <bottom style="thin">
        <color indexed="22"/>
      </bottom>
      <diagonal/>
    </border>
    <border>
      <left style="medium">
        <color indexed="64"/>
      </left>
      <right style="hair">
        <color indexed="64"/>
      </right>
      <top/>
      <bottom style="thin">
        <color indexed="22"/>
      </bottom>
      <diagonal/>
    </border>
    <border>
      <left style="thin">
        <color indexed="22"/>
      </left>
      <right style="hair">
        <color indexed="64"/>
      </right>
      <top style="thin">
        <color indexed="22"/>
      </top>
      <bottom/>
      <diagonal/>
    </border>
    <border>
      <left style="hair">
        <color indexed="64"/>
      </left>
      <right/>
      <top style="thin">
        <color indexed="22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rgb="FFFF0000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/>
    <xf numFmtId="41" fontId="2" fillId="0" borderId="0" xfId="1" applyFont="1" applyFill="1" applyBorder="1" applyAlignment="1" applyProtection="1"/>
    <xf numFmtId="176" fontId="2" fillId="0" borderId="0" xfId="2" applyNumberFormat="1" applyFont="1" applyFill="1" applyBorder="1" applyAlignment="1" applyProtection="1"/>
    <xf numFmtId="41" fontId="2" fillId="0" borderId="1" xfId="1" applyFont="1" applyFill="1" applyBorder="1" applyAlignment="1" applyProtection="1"/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9" fillId="0" borderId="0" xfId="0" applyFont="1" applyAlignment="1"/>
    <xf numFmtId="41" fontId="2" fillId="0" borderId="2" xfId="1" applyFont="1" applyFill="1" applyBorder="1" applyAlignment="1" applyProtection="1"/>
    <xf numFmtId="0" fontId="2" fillId="0" borderId="0" xfId="0" applyFont="1">
      <alignment vertical="center"/>
    </xf>
    <xf numFmtId="177" fontId="2" fillId="0" borderId="0" xfId="1" applyNumberFormat="1" applyFont="1" applyFill="1" applyBorder="1" applyAlignment="1" applyProtection="1">
      <alignment vertical="center"/>
    </xf>
    <xf numFmtId="0" fontId="11" fillId="0" borderId="0" xfId="0" applyFont="1">
      <alignment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9" fillId="0" borderId="0" xfId="0" applyFont="1" applyAlignment="1">
      <alignment horizontal="center"/>
    </xf>
    <xf numFmtId="49" fontId="12" fillId="3" borderId="7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center" vertical="center"/>
    </xf>
    <xf numFmtId="49" fontId="12" fillId="4" borderId="9" xfId="0" applyNumberFormat="1" applyFont="1" applyFill="1" applyBorder="1" applyAlignment="1">
      <alignment horizontal="center" vertical="center"/>
    </xf>
    <xf numFmtId="49" fontId="12" fillId="4" borderId="0" xfId="0" applyNumberFormat="1" applyFont="1" applyFill="1" applyAlignment="1">
      <alignment horizontal="center" vertical="center"/>
    </xf>
    <xf numFmtId="0" fontId="9" fillId="0" borderId="10" xfId="0" applyFont="1" applyBorder="1" applyAlignment="1">
      <alignment horizontal="center"/>
    </xf>
    <xf numFmtId="49" fontId="12" fillId="3" borderId="11" xfId="0" applyNumberFormat="1" applyFont="1" applyFill="1" applyBorder="1" applyAlignment="1">
      <alignment horizontal="center" vertical="center"/>
    </xf>
    <xf numFmtId="49" fontId="12" fillId="3" borderId="12" xfId="0" applyNumberFormat="1" applyFont="1" applyFill="1" applyBorder="1" applyAlignment="1">
      <alignment horizontal="center" vertical="center"/>
    </xf>
    <xf numFmtId="49" fontId="12" fillId="3" borderId="13" xfId="0" applyNumberFormat="1" applyFont="1" applyFill="1" applyBorder="1" applyAlignment="1">
      <alignment horizontal="center" vertical="center"/>
    </xf>
    <xf numFmtId="49" fontId="12" fillId="3" borderId="14" xfId="0" applyNumberFormat="1" applyFont="1" applyFill="1" applyBorder="1" applyAlignment="1">
      <alignment horizontal="center" vertical="center"/>
    </xf>
    <xf numFmtId="176" fontId="12" fillId="3" borderId="15" xfId="2" applyNumberFormat="1" applyFont="1" applyFill="1" applyBorder="1" applyAlignment="1">
      <alignment horizontal="center" vertical="center"/>
    </xf>
    <xf numFmtId="49" fontId="12" fillId="3" borderId="16" xfId="0" applyNumberFormat="1" applyFont="1" applyFill="1" applyBorder="1" applyAlignment="1">
      <alignment horizontal="center" vertical="center"/>
    </xf>
    <xf numFmtId="49" fontId="12" fillId="3" borderId="17" xfId="0" applyNumberFormat="1" applyFont="1" applyFill="1" applyBorder="1" applyAlignment="1">
      <alignment horizontal="center" vertical="center"/>
    </xf>
    <xf numFmtId="0" fontId="9" fillId="5" borderId="0" xfId="0" applyFont="1" applyFill="1" applyAlignment="1"/>
    <xf numFmtId="0" fontId="13" fillId="5" borderId="18" xfId="0" applyFont="1" applyFill="1" applyBorder="1" applyAlignment="1">
      <alignment horizontal="left" vertical="center"/>
    </xf>
    <xf numFmtId="0" fontId="13" fillId="0" borderId="19" xfId="0" applyFont="1" applyBorder="1">
      <alignment vertical="center"/>
    </xf>
    <xf numFmtId="0" fontId="13" fillId="6" borderId="3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left" vertical="center"/>
    </xf>
    <xf numFmtId="178" fontId="13" fillId="5" borderId="22" xfId="0" applyNumberFormat="1" applyFont="1" applyFill="1" applyBorder="1" applyAlignment="1">
      <alignment horizontal="right" vertical="center" wrapText="1"/>
    </xf>
    <xf numFmtId="179" fontId="13" fillId="5" borderId="23" xfId="0" applyNumberFormat="1" applyFont="1" applyFill="1" applyBorder="1" applyAlignment="1">
      <alignment horizontal="right" vertical="center" wrapText="1"/>
    </xf>
    <xf numFmtId="0" fontId="14" fillId="0" borderId="25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178" fontId="14" fillId="0" borderId="25" xfId="0" applyNumberFormat="1" applyFont="1" applyBorder="1" applyAlignment="1">
      <alignment horizontal="right" vertical="center" wrapText="1"/>
    </xf>
    <xf numFmtId="179" fontId="14" fillId="0" borderId="25" xfId="0" applyNumberFormat="1" applyFont="1" applyBorder="1" applyAlignment="1">
      <alignment horizontal="right" vertical="center" wrapText="1"/>
    </xf>
    <xf numFmtId="0" fontId="14" fillId="6" borderId="28" xfId="0" applyFont="1" applyFill="1" applyBorder="1" applyAlignment="1">
      <alignment horizontal="left" vertical="center"/>
    </xf>
    <xf numFmtId="0" fontId="14" fillId="6" borderId="29" xfId="0" applyFont="1" applyFill="1" applyBorder="1" applyAlignment="1">
      <alignment horizontal="left" vertical="center"/>
    </xf>
    <xf numFmtId="0" fontId="14" fillId="6" borderId="30" xfId="0" applyFont="1" applyFill="1" applyBorder="1" applyAlignment="1">
      <alignment horizontal="left" vertical="center"/>
    </xf>
    <xf numFmtId="178" fontId="14" fillId="6" borderId="25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14" fillId="0" borderId="28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2" fillId="6" borderId="0" xfId="0" applyFont="1" applyFill="1" applyAlignment="1"/>
    <xf numFmtId="0" fontId="9" fillId="6" borderId="0" xfId="0" applyFont="1" applyFill="1" applyAlignment="1"/>
    <xf numFmtId="0" fontId="14" fillId="6" borderId="25" xfId="0" applyFont="1" applyFill="1" applyBorder="1" applyAlignment="1">
      <alignment horizontal="left" vertical="center"/>
    </xf>
    <xf numFmtId="0" fontId="14" fillId="6" borderId="26" xfId="0" applyFont="1" applyFill="1" applyBorder="1" applyAlignment="1">
      <alignment horizontal="left" vertical="center"/>
    </xf>
    <xf numFmtId="0" fontId="13" fillId="6" borderId="19" xfId="0" applyFont="1" applyFill="1" applyBorder="1">
      <alignment vertical="center"/>
    </xf>
    <xf numFmtId="179" fontId="14" fillId="6" borderId="25" xfId="0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horizontal="left" vertical="center"/>
    </xf>
    <xf numFmtId="0" fontId="9" fillId="7" borderId="0" xfId="0" applyFont="1" applyFill="1" applyAlignment="1"/>
    <xf numFmtId="0" fontId="13" fillId="7" borderId="25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center"/>
    </xf>
    <xf numFmtId="0" fontId="13" fillId="7" borderId="27" xfId="0" applyFont="1" applyFill="1" applyBorder="1" applyAlignment="1">
      <alignment horizontal="left" vertical="center"/>
    </xf>
    <xf numFmtId="178" fontId="13" fillId="7" borderId="25" xfId="0" applyNumberFormat="1" applyFont="1" applyFill="1" applyBorder="1" applyAlignment="1">
      <alignment horizontal="right" vertical="center" wrapText="1"/>
    </xf>
    <xf numFmtId="179" fontId="13" fillId="7" borderId="25" xfId="0" applyNumberFormat="1" applyFont="1" applyFill="1" applyBorder="1" applyAlignment="1">
      <alignment horizontal="right" vertical="center" wrapText="1"/>
    </xf>
    <xf numFmtId="0" fontId="13" fillId="7" borderId="28" xfId="0" applyFont="1" applyFill="1" applyBorder="1" applyAlignment="1">
      <alignment horizontal="left" vertical="center"/>
    </xf>
    <xf numFmtId="0" fontId="13" fillId="7" borderId="29" xfId="0" applyFont="1" applyFill="1" applyBorder="1" applyAlignment="1">
      <alignment horizontal="left" vertical="center"/>
    </xf>
    <xf numFmtId="0" fontId="13" fillId="7" borderId="30" xfId="0" applyFont="1" applyFill="1" applyBorder="1" applyAlignment="1">
      <alignment horizontal="left" vertical="center"/>
    </xf>
    <xf numFmtId="180" fontId="9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178" fontId="13" fillId="0" borderId="25" xfId="0" applyNumberFormat="1" applyFont="1" applyBorder="1" applyAlignment="1">
      <alignment horizontal="right" vertical="center" wrapText="1"/>
    </xf>
    <xf numFmtId="179" fontId="13" fillId="0" borderId="25" xfId="0" applyNumberFormat="1" applyFont="1" applyBorder="1" applyAlignment="1">
      <alignment horizontal="right" vertical="center" wrapText="1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178" fontId="13" fillId="0" borderId="31" xfId="0" applyNumberFormat="1" applyFont="1" applyBorder="1" applyAlignment="1">
      <alignment horizontal="right" vertical="center" wrapText="1"/>
    </xf>
    <xf numFmtId="176" fontId="13" fillId="0" borderId="34" xfId="2" applyNumberFormat="1" applyFont="1" applyFill="1" applyBorder="1" applyAlignment="1">
      <alignment horizontal="right" vertical="center" wrapText="1"/>
    </xf>
    <xf numFmtId="179" fontId="13" fillId="0" borderId="35" xfId="0" applyNumberFormat="1" applyFont="1" applyBorder="1" applyAlignment="1">
      <alignment horizontal="right" vertical="center" wrapText="1"/>
    </xf>
    <xf numFmtId="0" fontId="13" fillId="0" borderId="26" xfId="0" applyFont="1" applyBorder="1" applyAlignment="1">
      <alignment horizontal="left" vertical="center"/>
    </xf>
    <xf numFmtId="0" fontId="9" fillId="8" borderId="0" xfId="0" applyFont="1" applyFill="1" applyAlignment="1"/>
    <xf numFmtId="0" fontId="13" fillId="8" borderId="25" xfId="0" applyFont="1" applyFill="1" applyBorder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178" fontId="13" fillId="8" borderId="25" xfId="0" applyNumberFormat="1" applyFont="1" applyFill="1" applyBorder="1" applyAlignment="1">
      <alignment horizontal="right" vertical="center" wrapText="1"/>
    </xf>
    <xf numFmtId="179" fontId="13" fillId="8" borderId="25" xfId="0" applyNumberFormat="1" applyFont="1" applyFill="1" applyBorder="1" applyAlignment="1">
      <alignment horizontal="right" vertical="center" wrapText="1"/>
    </xf>
    <xf numFmtId="0" fontId="13" fillId="8" borderId="28" xfId="0" applyFont="1" applyFill="1" applyBorder="1" applyAlignment="1">
      <alignment horizontal="left" vertical="center"/>
    </xf>
    <xf numFmtId="0" fontId="13" fillId="8" borderId="29" xfId="0" applyFont="1" applyFill="1" applyBorder="1" applyAlignment="1">
      <alignment horizontal="left" vertical="center"/>
    </xf>
    <xf numFmtId="0" fontId="13" fillId="8" borderId="30" xfId="0" applyFont="1" applyFill="1" applyBorder="1" applyAlignment="1">
      <alignment horizontal="left" vertical="center"/>
    </xf>
    <xf numFmtId="178" fontId="13" fillId="8" borderId="31" xfId="0" applyNumberFormat="1" applyFont="1" applyFill="1" applyBorder="1" applyAlignment="1">
      <alignment horizontal="right" vertical="center" wrapText="1"/>
    </xf>
    <xf numFmtId="176" fontId="13" fillId="8" borderId="34" xfId="2" applyNumberFormat="1" applyFont="1" applyFill="1" applyBorder="1" applyAlignment="1">
      <alignment horizontal="right" vertical="center" wrapText="1"/>
    </xf>
    <xf numFmtId="179" fontId="13" fillId="8" borderId="35" xfId="0" applyNumberFormat="1" applyFont="1" applyFill="1" applyBorder="1" applyAlignment="1">
      <alignment horizontal="right" vertical="center" wrapText="1"/>
    </xf>
    <xf numFmtId="0" fontId="13" fillId="0" borderId="40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178" fontId="13" fillId="0" borderId="42" xfId="0" applyNumberFormat="1" applyFont="1" applyBorder="1" applyAlignment="1">
      <alignment horizontal="right" vertical="center" wrapText="1"/>
    </xf>
    <xf numFmtId="176" fontId="13" fillId="0" borderId="43" xfId="2" applyNumberFormat="1" applyFont="1" applyFill="1" applyBorder="1" applyAlignment="1">
      <alignment horizontal="right" vertical="center" wrapText="1"/>
    </xf>
    <xf numFmtId="176" fontId="13" fillId="0" borderId="44" xfId="2" applyNumberFormat="1" applyFont="1" applyFill="1" applyBorder="1" applyAlignment="1">
      <alignment horizontal="left" vertical="center" wrapText="1"/>
    </xf>
    <xf numFmtId="41" fontId="13" fillId="0" borderId="44" xfId="1" applyFont="1" applyFill="1" applyBorder="1" applyAlignment="1">
      <alignment horizontal="left" vertical="center" wrapText="1"/>
    </xf>
    <xf numFmtId="0" fontId="13" fillId="5" borderId="25" xfId="0" applyFont="1" applyFill="1" applyBorder="1" applyAlignment="1">
      <alignment horizontal="left" vertical="center"/>
    </xf>
    <xf numFmtId="0" fontId="13" fillId="5" borderId="26" xfId="0" applyFont="1" applyFill="1" applyBorder="1" applyAlignment="1">
      <alignment horizontal="left" vertical="center"/>
    </xf>
    <xf numFmtId="179" fontId="13" fillId="5" borderId="45" xfId="0" applyNumberFormat="1" applyFont="1" applyFill="1" applyBorder="1" applyAlignment="1">
      <alignment horizontal="right" vertical="center" wrapText="1"/>
    </xf>
    <xf numFmtId="176" fontId="14" fillId="6" borderId="46" xfId="2" applyNumberFormat="1" applyFont="1" applyFill="1" applyBorder="1" applyAlignment="1">
      <alignment horizontal="right" vertical="center" wrapText="1"/>
    </xf>
    <xf numFmtId="178" fontId="14" fillId="6" borderId="47" xfId="0" applyNumberFormat="1" applyFont="1" applyFill="1" applyBorder="1" applyAlignment="1">
      <alignment horizontal="right" vertical="center" wrapText="1"/>
    </xf>
    <xf numFmtId="41" fontId="14" fillId="6" borderId="48" xfId="1" applyFont="1" applyFill="1" applyBorder="1" applyAlignment="1">
      <alignment horizontal="right" vertical="center" wrapText="1"/>
    </xf>
    <xf numFmtId="41" fontId="14" fillId="6" borderId="49" xfId="1" applyFont="1" applyFill="1" applyBorder="1" applyAlignment="1">
      <alignment horizontal="right" vertical="center" wrapText="1"/>
    </xf>
    <xf numFmtId="176" fontId="14" fillId="0" borderId="46" xfId="2" applyNumberFormat="1" applyFont="1" applyBorder="1" applyAlignment="1">
      <alignment horizontal="right" vertical="center" wrapText="1"/>
    </xf>
    <xf numFmtId="178" fontId="14" fillId="0" borderId="47" xfId="0" applyNumberFormat="1" applyFont="1" applyBorder="1" applyAlignment="1">
      <alignment horizontal="right" vertical="center" wrapText="1"/>
    </xf>
    <xf numFmtId="41" fontId="14" fillId="0" borderId="48" xfId="1" applyFont="1" applyBorder="1" applyAlignment="1">
      <alignment horizontal="right" vertical="center" wrapText="1"/>
    </xf>
    <xf numFmtId="41" fontId="14" fillId="0" borderId="49" xfId="1" applyFont="1" applyBorder="1" applyAlignment="1">
      <alignment horizontal="right" vertical="center" wrapText="1"/>
    </xf>
    <xf numFmtId="176" fontId="13" fillId="0" borderId="46" xfId="2" applyNumberFormat="1" applyFont="1" applyBorder="1" applyAlignment="1">
      <alignment horizontal="right" vertical="center" wrapText="1"/>
    </xf>
    <xf numFmtId="178" fontId="13" fillId="0" borderId="47" xfId="0" applyNumberFormat="1" applyFont="1" applyBorder="1" applyAlignment="1">
      <alignment horizontal="right" vertical="center" wrapText="1"/>
    </xf>
    <xf numFmtId="41" fontId="13" fillId="0" borderId="49" xfId="1" applyFont="1" applyBorder="1" applyAlignment="1">
      <alignment horizontal="right" vertical="center" wrapText="1"/>
    </xf>
    <xf numFmtId="0" fontId="14" fillId="0" borderId="30" xfId="0" applyFont="1" applyBorder="1" applyAlignment="1">
      <alignment horizontal="left" vertical="center"/>
    </xf>
    <xf numFmtId="176" fontId="13" fillId="7" borderId="46" xfId="2" applyNumberFormat="1" applyFont="1" applyFill="1" applyBorder="1" applyAlignment="1">
      <alignment horizontal="right" vertical="center" wrapText="1"/>
    </xf>
    <xf numFmtId="178" fontId="13" fillId="7" borderId="47" xfId="0" applyNumberFormat="1" applyFont="1" applyFill="1" applyBorder="1" applyAlignment="1">
      <alignment horizontal="right" vertical="center" wrapText="1"/>
    </xf>
    <xf numFmtId="179" fontId="13" fillId="7" borderId="48" xfId="0" applyNumberFormat="1" applyFont="1" applyFill="1" applyBorder="1" applyAlignment="1">
      <alignment horizontal="right" vertical="center" wrapText="1"/>
    </xf>
    <xf numFmtId="179" fontId="13" fillId="7" borderId="49" xfId="0" applyNumberFormat="1" applyFont="1" applyFill="1" applyBorder="1" applyAlignment="1">
      <alignment horizontal="right" vertical="center" wrapText="1"/>
    </xf>
    <xf numFmtId="176" fontId="13" fillId="0" borderId="32" xfId="2" applyNumberFormat="1" applyFont="1" applyFill="1" applyBorder="1" applyAlignment="1">
      <alignment horizontal="right" vertical="center" wrapText="1"/>
    </xf>
    <xf numFmtId="178" fontId="13" fillId="0" borderId="50" xfId="0" applyNumberFormat="1" applyFont="1" applyBorder="1" applyAlignment="1">
      <alignment horizontal="right" vertical="center" wrapText="1"/>
    </xf>
    <xf numFmtId="179" fontId="13" fillId="0" borderId="33" xfId="0" applyNumberFormat="1" applyFont="1" applyBorder="1" applyAlignment="1">
      <alignment horizontal="right" vertical="center" wrapText="1"/>
    </xf>
    <xf numFmtId="179" fontId="13" fillId="0" borderId="51" xfId="0" applyNumberFormat="1" applyFont="1" applyBorder="1" applyAlignment="1">
      <alignment horizontal="right" vertical="center" wrapText="1"/>
    </xf>
    <xf numFmtId="179" fontId="13" fillId="0" borderId="36" xfId="0" applyNumberFormat="1" applyFont="1" applyBorder="1" applyAlignment="1">
      <alignment horizontal="right" vertical="center" wrapText="1"/>
    </xf>
    <xf numFmtId="179" fontId="13" fillId="8" borderId="36" xfId="0" applyNumberFormat="1" applyFont="1" applyFill="1" applyBorder="1" applyAlignment="1">
      <alignment horizontal="right" vertical="center" wrapText="1"/>
    </xf>
    <xf numFmtId="41" fontId="13" fillId="0" borderId="52" xfId="1" applyFont="1" applyFill="1" applyBorder="1" applyAlignment="1">
      <alignment horizontal="left" vertical="center" wrapText="1"/>
    </xf>
    <xf numFmtId="41" fontId="13" fillId="0" borderId="48" xfId="1" applyFont="1" applyBorder="1" applyAlignment="1">
      <alignment horizontal="right" vertical="center" wrapText="1"/>
    </xf>
    <xf numFmtId="0" fontId="14" fillId="0" borderId="19" xfId="0" applyFont="1" applyBorder="1">
      <alignment vertical="center"/>
    </xf>
    <xf numFmtId="176" fontId="14" fillId="0" borderId="46" xfId="2" applyNumberFormat="1" applyFont="1" applyFill="1" applyBorder="1" applyAlignment="1">
      <alignment horizontal="right" vertical="center" wrapText="1"/>
    </xf>
    <xf numFmtId="41" fontId="14" fillId="0" borderId="48" xfId="1" applyFont="1" applyFill="1" applyBorder="1" applyAlignment="1">
      <alignment horizontal="right" vertical="center" wrapText="1"/>
    </xf>
    <xf numFmtId="41" fontId="14" fillId="0" borderId="49" xfId="1" applyFont="1" applyFill="1" applyBorder="1" applyAlignment="1">
      <alignment horizontal="right" vertical="center" wrapText="1"/>
    </xf>
    <xf numFmtId="178" fontId="13" fillId="5" borderId="18" xfId="0" applyNumberFormat="1" applyFont="1" applyFill="1" applyBorder="1" applyAlignment="1">
      <alignment horizontal="right" vertical="center" wrapText="1"/>
    </xf>
    <xf numFmtId="179" fontId="13" fillId="5" borderId="18" xfId="0" applyNumberFormat="1" applyFont="1" applyFill="1" applyBorder="1" applyAlignment="1">
      <alignment horizontal="right" vertical="center" wrapText="1"/>
    </xf>
    <xf numFmtId="0" fontId="13" fillId="5" borderId="53" xfId="0" applyFont="1" applyFill="1" applyBorder="1" applyAlignment="1">
      <alignment horizontal="left" vertical="center"/>
    </xf>
    <xf numFmtId="0" fontId="13" fillId="5" borderId="54" xfId="0" applyFont="1" applyFill="1" applyBorder="1" applyAlignment="1">
      <alignment horizontal="left" vertical="center"/>
    </xf>
    <xf numFmtId="9" fontId="13" fillId="5" borderId="55" xfId="2" applyFont="1" applyFill="1" applyBorder="1" applyAlignment="1">
      <alignment horizontal="right" vertical="center" wrapText="1"/>
    </xf>
    <xf numFmtId="176" fontId="13" fillId="0" borderId="52" xfId="2" applyNumberFormat="1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left" vertical="center"/>
    </xf>
    <xf numFmtId="178" fontId="13" fillId="5" borderId="25" xfId="0" applyNumberFormat="1" applyFont="1" applyFill="1" applyBorder="1" applyAlignment="1">
      <alignment horizontal="right" vertical="center" wrapText="1"/>
    </xf>
    <xf numFmtId="179" fontId="13" fillId="5" borderId="25" xfId="0" applyNumberFormat="1" applyFont="1" applyFill="1" applyBorder="1" applyAlignment="1">
      <alignment horizontal="right" vertical="center" wrapText="1"/>
    </xf>
    <xf numFmtId="9" fontId="13" fillId="5" borderId="46" xfId="2" applyFont="1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2" fillId="6" borderId="0" xfId="0" applyFont="1" applyFill="1">
      <alignment vertical="center"/>
    </xf>
    <xf numFmtId="0" fontId="9" fillId="0" borderId="0" xfId="0" applyFont="1">
      <alignment vertical="center"/>
    </xf>
    <xf numFmtId="178" fontId="13" fillId="6" borderId="25" xfId="0" applyNumberFormat="1" applyFont="1" applyFill="1" applyBorder="1" applyAlignment="1">
      <alignment horizontal="right" vertical="center" wrapText="1"/>
    </xf>
    <xf numFmtId="0" fontId="9" fillId="8" borderId="0" xfId="0" applyFont="1" applyFill="1" applyAlignment="1">
      <alignment horizontal="center" vertical="center"/>
    </xf>
    <xf numFmtId="0" fontId="13" fillId="8" borderId="26" xfId="0" applyFont="1" applyFill="1" applyBorder="1" applyAlignment="1">
      <alignment horizontal="left" vertical="center"/>
    </xf>
    <xf numFmtId="0" fontId="13" fillId="8" borderId="56" xfId="0" applyFont="1" applyFill="1" applyBorder="1" applyAlignment="1">
      <alignment horizontal="left" vertical="center"/>
    </xf>
    <xf numFmtId="0" fontId="13" fillId="8" borderId="10" xfId="0" applyFont="1" applyFill="1" applyBorder="1" applyAlignment="1">
      <alignment horizontal="left" vertical="center"/>
    </xf>
    <xf numFmtId="0" fontId="13" fillId="8" borderId="38" xfId="0" applyFont="1" applyFill="1" applyBorder="1" applyAlignment="1">
      <alignment horizontal="left" vertical="center"/>
    </xf>
    <xf numFmtId="178" fontId="13" fillId="8" borderId="38" xfId="0" applyNumberFormat="1" applyFont="1" applyFill="1" applyBorder="1" applyAlignment="1">
      <alignment horizontal="right" vertical="center" wrapText="1"/>
    </xf>
    <xf numFmtId="179" fontId="13" fillId="8" borderId="38" xfId="0" applyNumberFormat="1" applyFont="1" applyFill="1" applyBorder="1" applyAlignment="1">
      <alignment horizontal="right" vertical="center" wrapText="1"/>
    </xf>
    <xf numFmtId="0" fontId="13" fillId="5" borderId="61" xfId="0" applyFont="1" applyFill="1" applyBorder="1" applyAlignment="1">
      <alignment horizontal="left" vertical="center"/>
    </xf>
    <xf numFmtId="178" fontId="13" fillId="5" borderId="58" xfId="0" applyNumberFormat="1" applyFont="1" applyFill="1" applyBorder="1" applyAlignment="1">
      <alignment horizontal="right" vertical="center" wrapText="1"/>
    </xf>
    <xf numFmtId="179" fontId="13" fillId="5" borderId="59" xfId="0" applyNumberFormat="1" applyFont="1" applyFill="1" applyBorder="1" applyAlignment="1">
      <alignment horizontal="right" vertical="center" wrapText="1"/>
    </xf>
    <xf numFmtId="179" fontId="13" fillId="5" borderId="60" xfId="0" applyNumberFormat="1" applyFont="1" applyFill="1" applyBorder="1" applyAlignment="1">
      <alignment horizontal="right" vertical="center" wrapText="1"/>
    </xf>
    <xf numFmtId="0" fontId="13" fillId="6" borderId="25" xfId="0" applyFont="1" applyFill="1" applyBorder="1" applyAlignment="1">
      <alignment horizontal="left" vertical="center"/>
    </xf>
    <xf numFmtId="49" fontId="14" fillId="0" borderId="25" xfId="0" applyNumberFormat="1" applyFont="1" applyBorder="1" applyAlignment="1">
      <alignment horizontal="left" vertical="center"/>
    </xf>
    <xf numFmtId="0" fontId="9" fillId="5" borderId="0" xfId="0" applyFont="1" applyFill="1">
      <alignment vertical="center"/>
    </xf>
    <xf numFmtId="181" fontId="13" fillId="0" borderId="47" xfId="1" applyNumberFormat="1" applyFont="1" applyBorder="1" applyAlignment="1">
      <alignment horizontal="right" vertical="center" wrapText="1"/>
    </xf>
    <xf numFmtId="0" fontId="9" fillId="6" borderId="0" xfId="0" applyFont="1" applyFill="1">
      <alignment vertical="center"/>
    </xf>
    <xf numFmtId="0" fontId="13" fillId="6" borderId="26" xfId="0" applyFont="1" applyFill="1" applyBorder="1" applyAlignment="1">
      <alignment horizontal="left" vertical="center"/>
    </xf>
    <xf numFmtId="179" fontId="13" fillId="6" borderId="25" xfId="0" applyNumberFormat="1" applyFont="1" applyFill="1" applyBorder="1" applyAlignment="1">
      <alignment horizontal="right" vertical="center" wrapText="1"/>
    </xf>
    <xf numFmtId="0" fontId="13" fillId="6" borderId="28" xfId="0" applyFont="1" applyFill="1" applyBorder="1" applyAlignment="1">
      <alignment horizontal="left" vertical="center"/>
    </xf>
    <xf numFmtId="0" fontId="9" fillId="7" borderId="0" xfId="0" applyFont="1" applyFill="1">
      <alignment vertical="center"/>
    </xf>
    <xf numFmtId="0" fontId="9" fillId="8" borderId="0" xfId="0" applyFont="1" applyFill="1">
      <alignment vertical="center"/>
    </xf>
    <xf numFmtId="0" fontId="14" fillId="0" borderId="39" xfId="0" applyFont="1" applyBorder="1" applyAlignment="1">
      <alignment horizontal="left" vertical="center"/>
    </xf>
    <xf numFmtId="0" fontId="13" fillId="10" borderId="18" xfId="0" applyFont="1" applyFill="1" applyBorder="1" applyAlignment="1">
      <alignment horizontal="left" vertical="center"/>
    </xf>
    <xf numFmtId="0" fontId="14" fillId="9" borderId="53" xfId="0" applyFont="1" applyFill="1" applyBorder="1" applyAlignment="1">
      <alignment horizontal="left" vertical="center"/>
    </xf>
    <xf numFmtId="0" fontId="13" fillId="9" borderId="54" xfId="0" applyFont="1" applyFill="1" applyBorder="1" applyAlignment="1">
      <alignment horizontal="left" vertical="center"/>
    </xf>
    <xf numFmtId="0" fontId="14" fillId="10" borderId="25" xfId="0" applyFont="1" applyFill="1" applyBorder="1" applyAlignment="1">
      <alignment horizontal="left" vertical="center"/>
    </xf>
    <xf numFmtId="0" fontId="14" fillId="9" borderId="28" xfId="0" applyFont="1" applyFill="1" applyBorder="1" applyAlignment="1">
      <alignment horizontal="left" vertical="center"/>
    </xf>
    <xf numFmtId="0" fontId="14" fillId="9" borderId="29" xfId="0" applyFont="1" applyFill="1" applyBorder="1" applyAlignment="1">
      <alignment horizontal="left" vertical="center"/>
    </xf>
    <xf numFmtId="0" fontId="13" fillId="10" borderId="25" xfId="0" applyFont="1" applyFill="1" applyBorder="1" applyAlignment="1">
      <alignment horizontal="left" vertical="center"/>
    </xf>
    <xf numFmtId="0" fontId="13" fillId="7" borderId="62" xfId="0" applyFont="1" applyFill="1" applyBorder="1" applyAlignment="1">
      <alignment horizontal="left" vertical="center"/>
    </xf>
    <xf numFmtId="0" fontId="13" fillId="0" borderId="62" xfId="0" applyFont="1" applyBorder="1" applyAlignment="1">
      <alignment horizontal="left" vertical="center"/>
    </xf>
    <xf numFmtId="0" fontId="13" fillId="8" borderId="62" xfId="0" applyFont="1" applyFill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8" borderId="57" xfId="0" applyFont="1" applyFill="1" applyBorder="1" applyAlignment="1">
      <alignment horizontal="left" vertical="center"/>
    </xf>
    <xf numFmtId="177" fontId="15" fillId="0" borderId="0" xfId="1" applyNumberFormat="1" applyFont="1" applyFill="1" applyBorder="1" applyAlignment="1" applyProtection="1"/>
    <xf numFmtId="177" fontId="16" fillId="0" borderId="0" xfId="1" applyNumberFormat="1" applyFont="1" applyFill="1" applyBorder="1" applyAlignment="1" applyProtection="1"/>
    <xf numFmtId="0" fontId="15" fillId="0" borderId="0" xfId="0" applyFont="1" applyAlignment="1"/>
    <xf numFmtId="177" fontId="17" fillId="0" borderId="0" xfId="1" applyNumberFormat="1" applyFont="1" applyFill="1" applyBorder="1" applyAlignment="1" applyProtection="1"/>
    <xf numFmtId="177" fontId="18" fillId="0" borderId="0" xfId="1" applyNumberFormat="1" applyFont="1" applyFill="1" applyBorder="1" applyAlignment="1" applyProtection="1"/>
    <xf numFmtId="0" fontId="17" fillId="0" borderId="0" xfId="0" applyFont="1" applyAlignment="1"/>
    <xf numFmtId="177" fontId="2" fillId="0" borderId="0" xfId="1" applyNumberFormat="1" applyFont="1" applyFill="1" applyBorder="1" applyAlignment="1" applyProtection="1"/>
    <xf numFmtId="177" fontId="9" fillId="0" borderId="0" xfId="1" applyNumberFormat="1" applyFont="1" applyFill="1" applyBorder="1" applyAlignment="1" applyProtection="1"/>
    <xf numFmtId="177" fontId="16" fillId="0" borderId="0" xfId="1" applyNumberFormat="1" applyFont="1" applyFill="1" applyBorder="1" applyAlignment="1" applyProtection="1">
      <alignment vertical="center"/>
    </xf>
    <xf numFmtId="177" fontId="9" fillId="0" borderId="0" xfId="1" applyNumberFormat="1" applyFont="1" applyFill="1" applyBorder="1" applyAlignment="1" applyProtection="1">
      <alignment vertical="center"/>
    </xf>
    <xf numFmtId="0" fontId="16" fillId="0" borderId="0" xfId="0" applyFont="1" applyAlignment="1"/>
    <xf numFmtId="0" fontId="11" fillId="0" borderId="5" xfId="1" quotePrefix="1" applyNumberFormat="1" applyFont="1" applyFill="1" applyBorder="1" applyAlignment="1" applyProtection="1">
      <alignment horizontal="center" vertical="center"/>
    </xf>
    <xf numFmtId="0" fontId="11" fillId="0" borderId="3" xfId="1" applyNumberFormat="1" applyFont="1" applyFill="1" applyBorder="1" applyAlignment="1" applyProtection="1">
      <alignment horizontal="center" vertical="center"/>
    </xf>
    <xf numFmtId="0" fontId="11" fillId="0" borderId="6" xfId="1" applyNumberFormat="1" applyFont="1" applyFill="1" applyBorder="1" applyAlignment="1" applyProtection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629;&#47924;\1.06%20&#51116;&#47924;&#51088;&#47308;\2023&#45380;\9&#50900;\&#49373;&#49328;&#45800;&#44032;&#48320;&#46041;&#54788;&#54889;_2023.09_&#50900;&#483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내역"/>
      <sheetName val="Loss TOTAL"/>
      <sheetName val="재료비23.07"/>
      <sheetName val="재료비23.08"/>
      <sheetName val="재료비23.09"/>
      <sheetName val="LossTotal"/>
      <sheetName val="A"/>
      <sheetName val="23.01원가"/>
      <sheetName val="23.02원가"/>
      <sheetName val="재료비23.01"/>
      <sheetName val="23.03원가"/>
      <sheetName val="재료비23.02"/>
      <sheetName val="23.04원가"/>
      <sheetName val="재료비23.03"/>
      <sheetName val="23.05원가"/>
      <sheetName val="재료비23.04"/>
      <sheetName val="23.07원가"/>
      <sheetName val="23.08원가"/>
      <sheetName val="23.09원가"/>
      <sheetName val="예외입고"/>
      <sheetName val="23.06원가"/>
      <sheetName val="재료비23.05"/>
      <sheetName val="재료비23.06"/>
    </sheetNames>
    <sheetDataSet>
      <sheetData sheetId="0">
        <row r="495">
          <cell r="B495" t="str">
            <v>11030683402105</v>
          </cell>
          <cell r="E495">
            <v>1103068</v>
          </cell>
        </row>
        <row r="496">
          <cell r="B496" t="str">
            <v>11030683403303</v>
          </cell>
        </row>
        <row r="497">
          <cell r="B497" t="str">
            <v>11030683403313</v>
          </cell>
        </row>
        <row r="499">
          <cell r="B499" t="str">
            <v>11030683414085</v>
          </cell>
          <cell r="E499">
            <v>1103068</v>
          </cell>
        </row>
        <row r="500">
          <cell r="B500" t="str">
            <v>11030683457041</v>
          </cell>
        </row>
        <row r="501">
          <cell r="B501" t="str">
            <v>11030683457031</v>
          </cell>
        </row>
        <row r="503">
          <cell r="B503" t="str">
            <v>11030683459002</v>
          </cell>
        </row>
        <row r="504">
          <cell r="B504" t="str">
            <v>11030683459011</v>
          </cell>
        </row>
        <row r="506">
          <cell r="E506">
            <v>1103068</v>
          </cell>
        </row>
        <row r="512">
          <cell r="B512" t="str">
            <v>11031103402105</v>
          </cell>
          <cell r="E512">
            <v>1103110</v>
          </cell>
        </row>
        <row r="513">
          <cell r="B513" t="str">
            <v>11031103403303</v>
          </cell>
        </row>
        <row r="514">
          <cell r="B514" t="str">
            <v>11031103403313</v>
          </cell>
        </row>
        <row r="516">
          <cell r="B516" t="str">
            <v>11031103414085</v>
          </cell>
        </row>
        <row r="517">
          <cell r="B517" t="str">
            <v>11031103414101</v>
          </cell>
        </row>
        <row r="519">
          <cell r="B519" t="str">
            <v>11031103459011</v>
          </cell>
          <cell r="E519">
            <v>1103110</v>
          </cell>
        </row>
        <row r="520">
          <cell r="E520">
            <v>1103110</v>
          </cell>
        </row>
      </sheetData>
      <sheetData sheetId="1">
        <row r="6">
          <cell r="HA6" t="str">
            <v>2023.01</v>
          </cell>
          <cell r="HE6" t="str">
            <v>2023.02</v>
          </cell>
        </row>
        <row r="7">
          <cell r="HA7" t="str">
            <v>수량 (KG)</v>
          </cell>
          <cell r="HE7" t="str">
            <v>수량 (KG)</v>
          </cell>
        </row>
        <row r="8">
          <cell r="AV8" t="str">
            <v>1103001</v>
          </cell>
          <cell r="HA8">
            <v>0</v>
          </cell>
          <cell r="HE8">
            <v>54</v>
          </cell>
        </row>
        <row r="9">
          <cell r="AV9" t="str">
            <v>1103001</v>
          </cell>
          <cell r="HA9">
            <v>0</v>
          </cell>
          <cell r="HE9">
            <v>70</v>
          </cell>
        </row>
        <row r="10">
          <cell r="AV10" t="str">
            <v>1103001</v>
          </cell>
          <cell r="HA10">
            <v>0</v>
          </cell>
          <cell r="HE10">
            <v>30</v>
          </cell>
        </row>
        <row r="11">
          <cell r="AV11" t="str">
            <v>1103001</v>
          </cell>
          <cell r="HA11">
            <v>0</v>
          </cell>
          <cell r="HE11">
            <v>11</v>
          </cell>
        </row>
        <row r="12">
          <cell r="AV12" t="str">
            <v>1103001</v>
          </cell>
          <cell r="HE12">
            <v>10</v>
          </cell>
        </row>
        <row r="13">
          <cell r="AV13" t="str">
            <v>1103001</v>
          </cell>
          <cell r="HA13">
            <v>0</v>
          </cell>
          <cell r="HE13">
            <v>10</v>
          </cell>
        </row>
        <row r="14">
          <cell r="HA14">
            <v>0</v>
          </cell>
          <cell r="HE14">
            <v>185</v>
          </cell>
        </row>
        <row r="15">
          <cell r="HA15">
            <v>0</v>
          </cell>
          <cell r="HE15">
            <v>8152</v>
          </cell>
        </row>
        <row r="16">
          <cell r="HA16">
            <v>0</v>
          </cell>
          <cell r="HE16">
            <v>2.2693817468105986E-2</v>
          </cell>
        </row>
        <row r="17">
          <cell r="AV17" t="str">
            <v>1103002</v>
          </cell>
          <cell r="HA17">
            <v>0</v>
          </cell>
          <cell r="HE17">
            <v>10</v>
          </cell>
        </row>
        <row r="18">
          <cell r="AV18" t="str">
            <v>1103002</v>
          </cell>
          <cell r="HA18">
            <v>0</v>
          </cell>
          <cell r="HE18">
            <v>170</v>
          </cell>
        </row>
        <row r="19">
          <cell r="AV19" t="str">
            <v>1103002</v>
          </cell>
          <cell r="HA19">
            <v>0</v>
          </cell>
          <cell r="HE19">
            <v>190</v>
          </cell>
        </row>
        <row r="20">
          <cell r="AV20" t="str">
            <v>1103002</v>
          </cell>
          <cell r="HA20">
            <v>0</v>
          </cell>
          <cell r="HE20">
            <v>25</v>
          </cell>
        </row>
        <row r="21">
          <cell r="AV21" t="str">
            <v>1103002</v>
          </cell>
          <cell r="HA21">
            <v>0</v>
          </cell>
          <cell r="HE21">
            <v>15</v>
          </cell>
        </row>
        <row r="22">
          <cell r="AV22" t="str">
            <v>1103002</v>
          </cell>
          <cell r="HA22">
            <v>0</v>
          </cell>
          <cell r="HE22">
            <v>15</v>
          </cell>
        </row>
        <row r="23">
          <cell r="HA23">
            <v>0</v>
          </cell>
          <cell r="HE23">
            <v>425</v>
          </cell>
        </row>
        <row r="24">
          <cell r="HA24">
            <v>0</v>
          </cell>
          <cell r="HE24">
            <v>21531</v>
          </cell>
        </row>
        <row r="25">
          <cell r="HA25">
            <v>0</v>
          </cell>
          <cell r="HE25">
            <v>1.9738981004133575E-2</v>
          </cell>
        </row>
        <row r="26">
          <cell r="AV26" t="str">
            <v>1103012</v>
          </cell>
          <cell r="HA26">
            <v>0</v>
          </cell>
          <cell r="HE26">
            <v>18</v>
          </cell>
        </row>
        <row r="27">
          <cell r="AV27" t="str">
            <v>1103012</v>
          </cell>
          <cell r="HA27">
            <v>0</v>
          </cell>
          <cell r="HE27">
            <v>7</v>
          </cell>
        </row>
        <row r="28">
          <cell r="AV28" t="str">
            <v>1103012</v>
          </cell>
          <cell r="HA28">
            <v>0</v>
          </cell>
          <cell r="HE28">
            <v>10</v>
          </cell>
        </row>
        <row r="29">
          <cell r="AV29" t="str">
            <v>1103012</v>
          </cell>
          <cell r="HA29">
            <v>0</v>
          </cell>
          <cell r="HE29">
            <v>5</v>
          </cell>
        </row>
        <row r="30">
          <cell r="AV30" t="str">
            <v>1103012</v>
          </cell>
          <cell r="HE30">
            <v>4</v>
          </cell>
        </row>
        <row r="31">
          <cell r="AV31" t="str">
            <v>1103012</v>
          </cell>
          <cell r="HA31">
            <v>0</v>
          </cell>
          <cell r="HE31">
            <v>8</v>
          </cell>
        </row>
        <row r="32">
          <cell r="HA32">
            <v>0</v>
          </cell>
          <cell r="HE32">
            <v>52</v>
          </cell>
        </row>
        <row r="33">
          <cell r="HA33">
            <v>0</v>
          </cell>
          <cell r="HE33">
            <v>2392</v>
          </cell>
        </row>
        <row r="34">
          <cell r="HA34">
            <v>0</v>
          </cell>
          <cell r="HE34">
            <v>2.1739130434782608E-2</v>
          </cell>
        </row>
        <row r="35">
          <cell r="AV35" t="str">
            <v>1103013</v>
          </cell>
          <cell r="HA35">
            <v>162</v>
          </cell>
          <cell r="HE35">
            <v>0</v>
          </cell>
        </row>
        <row r="36">
          <cell r="AV36" t="str">
            <v>1103013</v>
          </cell>
          <cell r="HA36">
            <v>148</v>
          </cell>
          <cell r="HE36">
            <v>0</v>
          </cell>
        </row>
        <row r="37">
          <cell r="AV37" t="str">
            <v>1103013</v>
          </cell>
          <cell r="HA37">
            <v>32</v>
          </cell>
          <cell r="HE37">
            <v>0</v>
          </cell>
        </row>
        <row r="38">
          <cell r="AV38" t="str">
            <v>1103013</v>
          </cell>
          <cell r="HA38">
            <v>39</v>
          </cell>
          <cell r="HE38">
            <v>0</v>
          </cell>
        </row>
        <row r="39">
          <cell r="AV39" t="str">
            <v>1103013</v>
          </cell>
          <cell r="HA39">
            <v>19</v>
          </cell>
          <cell r="HE39">
            <v>0</v>
          </cell>
        </row>
        <row r="40">
          <cell r="AV40">
            <v>1103013</v>
          </cell>
          <cell r="HA40">
            <v>28</v>
          </cell>
          <cell r="HE40">
            <v>0</v>
          </cell>
        </row>
        <row r="41">
          <cell r="HA41">
            <v>428</v>
          </cell>
          <cell r="HE41">
            <v>0</v>
          </cell>
        </row>
        <row r="42">
          <cell r="HA42">
            <v>24067</v>
          </cell>
          <cell r="HE42">
            <v>0</v>
          </cell>
        </row>
        <row r="43">
          <cell r="HA43">
            <v>1.7783687206548385E-2</v>
          </cell>
          <cell r="HE43">
            <v>0</v>
          </cell>
        </row>
        <row r="44">
          <cell r="AV44" t="str">
            <v>1103017</v>
          </cell>
          <cell r="HA44">
            <v>0</v>
          </cell>
          <cell r="HE44">
            <v>0</v>
          </cell>
        </row>
        <row r="45">
          <cell r="AV45" t="str">
            <v>1103017</v>
          </cell>
          <cell r="HA45">
            <v>0</v>
          </cell>
          <cell r="HE45">
            <v>0</v>
          </cell>
        </row>
        <row r="46">
          <cell r="AV46" t="str">
            <v>1103017</v>
          </cell>
          <cell r="HA46">
            <v>0</v>
          </cell>
          <cell r="HE46">
            <v>0</v>
          </cell>
        </row>
        <row r="47">
          <cell r="AV47" t="str">
            <v>1103017</v>
          </cell>
          <cell r="HA47">
            <v>0</v>
          </cell>
          <cell r="HE47">
            <v>0</v>
          </cell>
        </row>
        <row r="48">
          <cell r="AV48" t="str">
            <v>1103017</v>
          </cell>
          <cell r="HA48">
            <v>0</v>
          </cell>
          <cell r="HE48">
            <v>0</v>
          </cell>
        </row>
        <row r="49">
          <cell r="AV49">
            <v>1103017</v>
          </cell>
          <cell r="HA49">
            <v>0</v>
          </cell>
          <cell r="HE49">
            <v>0</v>
          </cell>
        </row>
        <row r="50">
          <cell r="HA50">
            <v>0</v>
          </cell>
          <cell r="HE50">
            <v>0</v>
          </cell>
        </row>
        <row r="51">
          <cell r="HA51">
            <v>0</v>
          </cell>
          <cell r="HE51">
            <v>0</v>
          </cell>
        </row>
        <row r="52">
          <cell r="HA52">
            <v>0</v>
          </cell>
          <cell r="HE52">
            <v>0</v>
          </cell>
        </row>
        <row r="53">
          <cell r="AV53" t="str">
            <v>1103018</v>
          </cell>
        </row>
        <row r="54">
          <cell r="AV54" t="str">
            <v>1103018</v>
          </cell>
        </row>
        <row r="55">
          <cell r="AV55" t="str">
            <v>1103018</v>
          </cell>
        </row>
        <row r="56">
          <cell r="AV56" t="str">
            <v>1103018</v>
          </cell>
        </row>
        <row r="57">
          <cell r="AV57" t="str">
            <v>1103018</v>
          </cell>
        </row>
        <row r="58">
          <cell r="AV58" t="str">
            <v>1103018</v>
          </cell>
        </row>
        <row r="62">
          <cell r="AV62" t="str">
            <v>1103014</v>
          </cell>
          <cell r="HA62">
            <v>0</v>
          </cell>
          <cell r="HE62">
            <v>0</v>
          </cell>
        </row>
        <row r="63">
          <cell r="AV63" t="str">
            <v>1103014</v>
          </cell>
          <cell r="HA63">
            <v>0</v>
          </cell>
          <cell r="HE63">
            <v>0</v>
          </cell>
        </row>
        <row r="64">
          <cell r="AV64" t="str">
            <v>1103014</v>
          </cell>
          <cell r="HA64">
            <v>0</v>
          </cell>
          <cell r="HE64">
            <v>0</v>
          </cell>
        </row>
        <row r="65">
          <cell r="AV65" t="str">
            <v>1103014</v>
          </cell>
          <cell r="HA65">
            <v>0</v>
          </cell>
          <cell r="HE65">
            <v>0</v>
          </cell>
        </row>
        <row r="66">
          <cell r="AV66" t="str">
            <v>1103014</v>
          </cell>
          <cell r="HA66">
            <v>0</v>
          </cell>
          <cell r="HE66">
            <v>0</v>
          </cell>
        </row>
        <row r="67">
          <cell r="AV67" t="str">
            <v>1103014</v>
          </cell>
          <cell r="HA67">
            <v>0</v>
          </cell>
          <cell r="HE67">
            <v>0</v>
          </cell>
        </row>
        <row r="68">
          <cell r="HA68">
            <v>0</v>
          </cell>
          <cell r="HE68">
            <v>0</v>
          </cell>
        </row>
        <row r="69">
          <cell r="HA69">
            <v>0</v>
          </cell>
          <cell r="HE69">
            <v>0</v>
          </cell>
        </row>
        <row r="70">
          <cell r="HA70">
            <v>0</v>
          </cell>
          <cell r="HE70">
            <v>0</v>
          </cell>
        </row>
        <row r="71">
          <cell r="AV71" t="str">
            <v>1103015</v>
          </cell>
          <cell r="HA71">
            <v>0</v>
          </cell>
          <cell r="HE71">
            <v>0</v>
          </cell>
        </row>
        <row r="72">
          <cell r="AV72" t="str">
            <v>1103015</v>
          </cell>
          <cell r="HA72">
            <v>0</v>
          </cell>
          <cell r="HE72">
            <v>0</v>
          </cell>
        </row>
        <row r="73">
          <cell r="AV73" t="str">
            <v>1103015</v>
          </cell>
          <cell r="HA73">
            <v>0</v>
          </cell>
          <cell r="HE73">
            <v>0</v>
          </cell>
        </row>
        <row r="74">
          <cell r="AV74" t="str">
            <v>1103015</v>
          </cell>
          <cell r="HA74">
            <v>0</v>
          </cell>
          <cell r="HE74">
            <v>0</v>
          </cell>
        </row>
        <row r="75">
          <cell r="AV75" t="str">
            <v>1103015</v>
          </cell>
          <cell r="HA75">
            <v>0</v>
          </cell>
          <cell r="HE75">
            <v>0</v>
          </cell>
        </row>
        <row r="76">
          <cell r="HA76">
            <v>0</v>
          </cell>
          <cell r="HE76">
            <v>0</v>
          </cell>
        </row>
        <row r="77">
          <cell r="HA77">
            <v>0</v>
          </cell>
          <cell r="HE77">
            <v>0</v>
          </cell>
        </row>
        <row r="78">
          <cell r="HA78">
            <v>0</v>
          </cell>
          <cell r="HE78">
            <v>0</v>
          </cell>
        </row>
        <row r="79">
          <cell r="AV79" t="str">
            <v>1103016</v>
          </cell>
          <cell r="HA79">
            <v>0</v>
          </cell>
          <cell r="HE79">
            <v>152</v>
          </cell>
        </row>
        <row r="80">
          <cell r="AV80" t="str">
            <v>1103016</v>
          </cell>
          <cell r="HA80">
            <v>0</v>
          </cell>
          <cell r="HE80">
            <v>132</v>
          </cell>
        </row>
        <row r="81">
          <cell r="AV81" t="str">
            <v>1103016</v>
          </cell>
          <cell r="HA81">
            <v>0</v>
          </cell>
          <cell r="HE81">
            <v>51</v>
          </cell>
        </row>
        <row r="82">
          <cell r="AV82" t="str">
            <v>1103016</v>
          </cell>
          <cell r="HA82">
            <v>0</v>
          </cell>
          <cell r="HE82">
            <v>15</v>
          </cell>
        </row>
        <row r="83">
          <cell r="AV83" t="str">
            <v>1103016</v>
          </cell>
          <cell r="HA83">
            <v>0</v>
          </cell>
          <cell r="HE83">
            <v>23</v>
          </cell>
        </row>
        <row r="84">
          <cell r="AV84" t="str">
            <v>1103016</v>
          </cell>
          <cell r="HA84">
            <v>0</v>
          </cell>
          <cell r="HE84">
            <v>21</v>
          </cell>
        </row>
        <row r="85">
          <cell r="HA85">
            <v>0</v>
          </cell>
          <cell r="HE85">
            <v>394</v>
          </cell>
        </row>
        <row r="86">
          <cell r="HA86">
            <v>0</v>
          </cell>
          <cell r="HE86">
            <v>24979</v>
          </cell>
        </row>
        <row r="87">
          <cell r="HA87">
            <v>0</v>
          </cell>
          <cell r="HE87">
            <v>1.5773249529604867E-2</v>
          </cell>
        </row>
        <row r="88">
          <cell r="AV88" t="str">
            <v>1103021</v>
          </cell>
          <cell r="HA88">
            <v>0</v>
          </cell>
          <cell r="HE88">
            <v>0</v>
          </cell>
        </row>
        <row r="89">
          <cell r="AV89" t="str">
            <v>1103021</v>
          </cell>
          <cell r="HA89">
            <v>0</v>
          </cell>
          <cell r="HE89">
            <v>0</v>
          </cell>
        </row>
        <row r="90">
          <cell r="AV90" t="str">
            <v>1103021</v>
          </cell>
          <cell r="HA90">
            <v>0</v>
          </cell>
          <cell r="HE90">
            <v>0</v>
          </cell>
        </row>
        <row r="91">
          <cell r="AV91" t="str">
            <v>1103021</v>
          </cell>
          <cell r="HA91">
            <v>0</v>
          </cell>
          <cell r="HE91">
            <v>0</v>
          </cell>
        </row>
        <row r="92">
          <cell r="AV92" t="str">
            <v>1103021</v>
          </cell>
          <cell r="HA92">
            <v>0</v>
          </cell>
          <cell r="HE92">
            <v>0</v>
          </cell>
        </row>
        <row r="93">
          <cell r="AV93" t="str">
            <v>1103021</v>
          </cell>
          <cell r="HA93">
            <v>0</v>
          </cell>
          <cell r="HE93">
            <v>0</v>
          </cell>
        </row>
        <row r="94">
          <cell r="HA94">
            <v>0</v>
          </cell>
          <cell r="HE94">
            <v>0</v>
          </cell>
        </row>
        <row r="95">
          <cell r="HA95">
            <v>0</v>
          </cell>
          <cell r="HE95">
            <v>0</v>
          </cell>
        </row>
        <row r="96">
          <cell r="HA96">
            <v>0</v>
          </cell>
          <cell r="HE96">
            <v>0</v>
          </cell>
        </row>
        <row r="97">
          <cell r="AV97" t="str">
            <v>1103034</v>
          </cell>
          <cell r="HA97">
            <v>0</v>
          </cell>
          <cell r="HE97">
            <v>0</v>
          </cell>
        </row>
        <row r="98">
          <cell r="AV98" t="str">
            <v>1103034</v>
          </cell>
          <cell r="HA98">
            <v>0</v>
          </cell>
          <cell r="HE98">
            <v>0</v>
          </cell>
        </row>
        <row r="99">
          <cell r="AV99" t="str">
            <v>1103034</v>
          </cell>
          <cell r="HA99">
            <v>0</v>
          </cell>
          <cell r="HE99">
            <v>0</v>
          </cell>
        </row>
        <row r="100">
          <cell r="AV100" t="str">
            <v>1103034</v>
          </cell>
          <cell r="HA100">
            <v>0</v>
          </cell>
          <cell r="HE100">
            <v>0</v>
          </cell>
        </row>
        <row r="101">
          <cell r="AV101" t="str">
            <v>1103034</v>
          </cell>
        </row>
        <row r="102">
          <cell r="AV102" t="str">
            <v>1103034</v>
          </cell>
          <cell r="HA102">
            <v>0</v>
          </cell>
          <cell r="HE102">
            <v>0</v>
          </cell>
        </row>
        <row r="103">
          <cell r="HA103">
            <v>0</v>
          </cell>
          <cell r="HE103">
            <v>0</v>
          </cell>
        </row>
        <row r="104">
          <cell r="HA104">
            <v>0</v>
          </cell>
          <cell r="HE104">
            <v>0</v>
          </cell>
        </row>
        <row r="105">
          <cell r="HA105">
            <v>0</v>
          </cell>
          <cell r="HE105">
            <v>0</v>
          </cell>
        </row>
        <row r="106">
          <cell r="AV106" t="str">
            <v>1103036</v>
          </cell>
          <cell r="HA106">
            <v>0</v>
          </cell>
          <cell r="HE106">
            <v>0</v>
          </cell>
        </row>
        <row r="107">
          <cell r="AV107" t="str">
            <v>1103036</v>
          </cell>
          <cell r="HA107">
            <v>0</v>
          </cell>
          <cell r="HE107">
            <v>0</v>
          </cell>
        </row>
        <row r="108">
          <cell r="AV108" t="str">
            <v>1103036</v>
          </cell>
          <cell r="HA108">
            <v>0</v>
          </cell>
          <cell r="HE108">
            <v>0</v>
          </cell>
        </row>
        <row r="109">
          <cell r="AV109" t="str">
            <v>1103036</v>
          </cell>
          <cell r="HA109">
            <v>0</v>
          </cell>
          <cell r="HE109">
            <v>0</v>
          </cell>
        </row>
        <row r="110">
          <cell r="AV110" t="str">
            <v>1103036</v>
          </cell>
          <cell r="HA110">
            <v>0</v>
          </cell>
          <cell r="HE110">
            <v>0</v>
          </cell>
        </row>
        <row r="111">
          <cell r="AV111" t="str">
            <v>1103036</v>
          </cell>
          <cell r="HA111">
            <v>0</v>
          </cell>
          <cell r="HE111">
            <v>0</v>
          </cell>
        </row>
        <row r="112">
          <cell r="HA112">
            <v>0</v>
          </cell>
          <cell r="HE112">
            <v>0</v>
          </cell>
        </row>
        <row r="113">
          <cell r="HA113">
            <v>0</v>
          </cell>
          <cell r="HE113">
            <v>0</v>
          </cell>
        </row>
        <row r="114">
          <cell r="HA114">
            <v>0</v>
          </cell>
          <cell r="HE114">
            <v>0</v>
          </cell>
        </row>
        <row r="115">
          <cell r="AV115" t="str">
            <v>1103037</v>
          </cell>
          <cell r="HA115">
            <v>0</v>
          </cell>
          <cell r="HE115">
            <v>0</v>
          </cell>
        </row>
        <row r="116">
          <cell r="AV116" t="str">
            <v>1103037</v>
          </cell>
          <cell r="HA116">
            <v>0</v>
          </cell>
          <cell r="HE116">
            <v>0</v>
          </cell>
        </row>
        <row r="117">
          <cell r="AV117" t="str">
            <v>1103037</v>
          </cell>
          <cell r="HA117">
            <v>0</v>
          </cell>
          <cell r="HE117">
            <v>0</v>
          </cell>
        </row>
        <row r="118">
          <cell r="AV118" t="str">
            <v>1103037</v>
          </cell>
          <cell r="HA118">
            <v>0</v>
          </cell>
          <cell r="HE118">
            <v>0</v>
          </cell>
        </row>
        <row r="119">
          <cell r="AV119" t="str">
            <v>1103037</v>
          </cell>
        </row>
        <row r="120">
          <cell r="AV120" t="str">
            <v>1103037</v>
          </cell>
          <cell r="HA120">
            <v>0</v>
          </cell>
          <cell r="HE120">
            <v>0</v>
          </cell>
        </row>
        <row r="121">
          <cell r="HA121">
            <v>0</v>
          </cell>
          <cell r="HE121">
            <v>0</v>
          </cell>
        </row>
        <row r="122">
          <cell r="HA122">
            <v>0</v>
          </cell>
          <cell r="HE122">
            <v>0</v>
          </cell>
        </row>
        <row r="123">
          <cell r="HA123">
            <v>0</v>
          </cell>
          <cell r="HE123">
            <v>0</v>
          </cell>
        </row>
        <row r="124">
          <cell r="AV124" t="str">
            <v>1103039</v>
          </cell>
          <cell r="HA124">
            <v>0</v>
          </cell>
          <cell r="HE124">
            <v>0</v>
          </cell>
        </row>
        <row r="125">
          <cell r="AV125" t="str">
            <v>1103039</v>
          </cell>
          <cell r="HA125">
            <v>0</v>
          </cell>
          <cell r="HE125">
            <v>0</v>
          </cell>
        </row>
        <row r="126">
          <cell r="AV126" t="str">
            <v>1103039</v>
          </cell>
          <cell r="HA126">
            <v>0</v>
          </cell>
          <cell r="HE126">
            <v>0</v>
          </cell>
        </row>
        <row r="127">
          <cell r="AV127" t="str">
            <v>1103039</v>
          </cell>
          <cell r="HA127">
            <v>0</v>
          </cell>
          <cell r="HE127">
            <v>0</v>
          </cell>
        </row>
        <row r="128">
          <cell r="AV128" t="str">
            <v>1103039</v>
          </cell>
          <cell r="HA128">
            <v>0</v>
          </cell>
          <cell r="HE128">
            <v>0</v>
          </cell>
        </row>
        <row r="129">
          <cell r="HA129">
            <v>0</v>
          </cell>
          <cell r="HE129">
            <v>0</v>
          </cell>
        </row>
        <row r="130">
          <cell r="HA130">
            <v>0</v>
          </cell>
          <cell r="HE130">
            <v>0</v>
          </cell>
        </row>
        <row r="131">
          <cell r="HA131">
            <v>0</v>
          </cell>
          <cell r="HE131">
            <v>0</v>
          </cell>
        </row>
        <row r="132">
          <cell r="AV132">
            <v>1103038</v>
          </cell>
        </row>
        <row r="133">
          <cell r="AV133">
            <v>1103038</v>
          </cell>
        </row>
        <row r="134">
          <cell r="AV134">
            <v>1103038</v>
          </cell>
        </row>
        <row r="135">
          <cell r="AV135">
            <v>1103038</v>
          </cell>
        </row>
        <row r="136">
          <cell r="AV136">
            <v>1103038</v>
          </cell>
        </row>
        <row r="140">
          <cell r="AV140" t="str">
            <v>1103040</v>
          </cell>
          <cell r="HA140">
            <v>0</v>
          </cell>
          <cell r="HE140">
            <v>0</v>
          </cell>
        </row>
        <row r="141">
          <cell r="AV141" t="str">
            <v>1103040</v>
          </cell>
          <cell r="HA141">
            <v>0</v>
          </cell>
          <cell r="HE141">
            <v>0</v>
          </cell>
        </row>
        <row r="142">
          <cell r="AV142" t="str">
            <v>1103040</v>
          </cell>
          <cell r="HA142">
            <v>0</v>
          </cell>
          <cell r="HE142">
            <v>0</v>
          </cell>
        </row>
        <row r="143">
          <cell r="AV143" t="str">
            <v>1103040</v>
          </cell>
          <cell r="HA143">
            <v>0</v>
          </cell>
          <cell r="HE143">
            <v>0</v>
          </cell>
        </row>
        <row r="144">
          <cell r="AV144" t="str">
            <v>1103040</v>
          </cell>
          <cell r="HA144">
            <v>0</v>
          </cell>
          <cell r="HE144">
            <v>0</v>
          </cell>
        </row>
        <row r="145">
          <cell r="HA145">
            <v>0</v>
          </cell>
          <cell r="HE145">
            <v>0</v>
          </cell>
        </row>
        <row r="146">
          <cell r="HA146">
            <v>0</v>
          </cell>
          <cell r="HE146">
            <v>0</v>
          </cell>
        </row>
        <row r="147">
          <cell r="HA147">
            <v>0</v>
          </cell>
          <cell r="HE147">
            <v>0</v>
          </cell>
        </row>
        <row r="148">
          <cell r="AV148">
            <v>1103041</v>
          </cell>
        </row>
        <row r="149">
          <cell r="AV149">
            <v>1103041</v>
          </cell>
        </row>
        <row r="150">
          <cell r="AV150">
            <v>1103041</v>
          </cell>
        </row>
        <row r="151">
          <cell r="AV151">
            <v>1103041</v>
          </cell>
        </row>
        <row r="152">
          <cell r="AV152">
            <v>1103041</v>
          </cell>
        </row>
        <row r="153">
          <cell r="AV153">
            <v>1103041</v>
          </cell>
        </row>
        <row r="157">
          <cell r="AV157" t="str">
            <v>1103061</v>
          </cell>
          <cell r="HA157">
            <v>425</v>
          </cell>
          <cell r="HE157">
            <v>347</v>
          </cell>
        </row>
        <row r="158">
          <cell r="AV158" t="str">
            <v>1103061</v>
          </cell>
          <cell r="HA158">
            <v>476</v>
          </cell>
          <cell r="HE158">
            <v>667</v>
          </cell>
        </row>
        <row r="159">
          <cell r="AV159" t="str">
            <v>1103061</v>
          </cell>
          <cell r="HA159">
            <v>125</v>
          </cell>
          <cell r="HE159">
            <v>91</v>
          </cell>
        </row>
        <row r="160">
          <cell r="AV160" t="str">
            <v>1103061</v>
          </cell>
          <cell r="HA160">
            <v>25</v>
          </cell>
          <cell r="HE160">
            <v>93</v>
          </cell>
        </row>
        <row r="161">
          <cell r="AV161" t="str">
            <v>1103061</v>
          </cell>
          <cell r="HA161">
            <v>25</v>
          </cell>
          <cell r="HE161">
            <v>94</v>
          </cell>
        </row>
        <row r="162">
          <cell r="AV162" t="str">
            <v>1103061</v>
          </cell>
          <cell r="HA162">
            <v>29</v>
          </cell>
          <cell r="HE162">
            <v>80</v>
          </cell>
        </row>
        <row r="163">
          <cell r="HA163">
            <v>1105</v>
          </cell>
          <cell r="HE163">
            <v>1372</v>
          </cell>
        </row>
        <row r="164">
          <cell r="HA164">
            <v>55188</v>
          </cell>
          <cell r="HE164">
            <v>82680</v>
          </cell>
        </row>
        <row r="165">
          <cell r="HA165">
            <v>2.0022468652605638E-2</v>
          </cell>
          <cell r="HE165">
            <v>1.6594097726173197E-2</v>
          </cell>
        </row>
        <row r="166">
          <cell r="AV166" t="str">
            <v>1103065</v>
          </cell>
          <cell r="HA166">
            <v>65</v>
          </cell>
          <cell r="HE166">
            <v>0</v>
          </cell>
        </row>
        <row r="167">
          <cell r="AV167" t="str">
            <v>1103065</v>
          </cell>
          <cell r="HA167">
            <v>63</v>
          </cell>
          <cell r="HE167">
            <v>0</v>
          </cell>
        </row>
        <row r="168">
          <cell r="AV168" t="str">
            <v>1103065</v>
          </cell>
          <cell r="HA168">
            <v>30</v>
          </cell>
          <cell r="HE168">
            <v>0</v>
          </cell>
        </row>
        <row r="169">
          <cell r="AV169" t="str">
            <v>1103065</v>
          </cell>
          <cell r="HA169">
            <v>7</v>
          </cell>
          <cell r="HE169">
            <v>0</v>
          </cell>
        </row>
        <row r="170">
          <cell r="AV170" t="str">
            <v>1103065</v>
          </cell>
          <cell r="HA170">
            <v>20</v>
          </cell>
          <cell r="HE170">
            <v>0</v>
          </cell>
        </row>
        <row r="171">
          <cell r="AV171" t="str">
            <v>1103065</v>
          </cell>
          <cell r="HA171">
            <v>16</v>
          </cell>
          <cell r="HE171">
            <v>0</v>
          </cell>
        </row>
        <row r="172">
          <cell r="HA172">
            <v>201</v>
          </cell>
          <cell r="HE172">
            <v>0</v>
          </cell>
        </row>
        <row r="173">
          <cell r="HA173">
            <v>9921</v>
          </cell>
          <cell r="HE173">
            <v>0</v>
          </cell>
        </row>
        <row r="174">
          <cell r="HA174">
            <v>2.0260054429996975E-2</v>
          </cell>
          <cell r="HE174">
            <v>0</v>
          </cell>
        </row>
        <row r="175">
          <cell r="AV175" t="str">
            <v>1103067</v>
          </cell>
          <cell r="HA175">
            <v>50</v>
          </cell>
          <cell r="HE175">
            <v>61</v>
          </cell>
        </row>
        <row r="176">
          <cell r="AV176" t="str">
            <v>1103067</v>
          </cell>
          <cell r="HA176">
            <v>532</v>
          </cell>
          <cell r="HE176">
            <v>0</v>
          </cell>
        </row>
        <row r="177">
          <cell r="AV177" t="str">
            <v>1103067</v>
          </cell>
          <cell r="HA177">
            <v>554</v>
          </cell>
          <cell r="HE177">
            <v>1485</v>
          </cell>
        </row>
        <row r="178">
          <cell r="AV178" t="str">
            <v>1103067</v>
          </cell>
          <cell r="HA178">
            <v>106</v>
          </cell>
          <cell r="HE178">
            <v>322</v>
          </cell>
        </row>
        <row r="179">
          <cell r="AV179" t="str">
            <v>1103067</v>
          </cell>
          <cell r="HA179">
            <v>40</v>
          </cell>
          <cell r="HE179">
            <v>33</v>
          </cell>
        </row>
        <row r="180">
          <cell r="AV180" t="str">
            <v>1103067</v>
          </cell>
          <cell r="HA180">
            <v>48</v>
          </cell>
          <cell r="HE180">
            <v>31</v>
          </cell>
        </row>
        <row r="181">
          <cell r="HA181">
            <v>1330</v>
          </cell>
          <cell r="HE181">
            <v>1932</v>
          </cell>
        </row>
        <row r="182">
          <cell r="HA182">
            <v>80830</v>
          </cell>
          <cell r="HE182">
            <v>135082</v>
          </cell>
        </row>
        <row r="183">
          <cell r="HA183">
            <v>1.6454286774712359E-2</v>
          </cell>
          <cell r="HE183">
            <v>1.4302423713003953E-2</v>
          </cell>
        </row>
        <row r="184">
          <cell r="AV184" t="str">
            <v>1103110</v>
          </cell>
          <cell r="HA184">
            <v>0</v>
          </cell>
          <cell r="HE184">
            <v>0</v>
          </cell>
        </row>
        <row r="185">
          <cell r="AV185" t="str">
            <v>1103110</v>
          </cell>
          <cell r="HA185">
            <v>0</v>
          </cell>
          <cell r="HE185">
            <v>0</v>
          </cell>
        </row>
        <row r="186">
          <cell r="AV186" t="str">
            <v>1103110</v>
          </cell>
          <cell r="HA186">
            <v>0</v>
          </cell>
          <cell r="HE186">
            <v>0</v>
          </cell>
        </row>
        <row r="187">
          <cell r="AV187" t="str">
            <v>1103110</v>
          </cell>
          <cell r="HA187">
            <v>0</v>
          </cell>
          <cell r="HE187">
            <v>0</v>
          </cell>
        </row>
        <row r="188">
          <cell r="AV188" t="str">
            <v>1103110</v>
          </cell>
          <cell r="HA188">
            <v>0</v>
          </cell>
          <cell r="HE188">
            <v>0</v>
          </cell>
        </row>
        <row r="189">
          <cell r="AV189" t="str">
            <v>1103110</v>
          </cell>
          <cell r="HA189">
            <v>0</v>
          </cell>
          <cell r="HE189">
            <v>0</v>
          </cell>
        </row>
        <row r="190">
          <cell r="HA190">
            <v>0</v>
          </cell>
          <cell r="HE190">
            <v>0</v>
          </cell>
        </row>
        <row r="191">
          <cell r="HA191">
            <v>0</v>
          </cell>
          <cell r="HE191">
            <v>0</v>
          </cell>
        </row>
        <row r="192">
          <cell r="HA192">
            <v>0</v>
          </cell>
          <cell r="HE192">
            <v>0</v>
          </cell>
        </row>
        <row r="193">
          <cell r="AV193" t="str">
            <v>1103200</v>
          </cell>
          <cell r="HA193">
            <v>42</v>
          </cell>
          <cell r="HE193">
            <v>19</v>
          </cell>
        </row>
        <row r="194">
          <cell r="AV194" t="str">
            <v>1103200</v>
          </cell>
          <cell r="HA194">
            <v>456</v>
          </cell>
          <cell r="HE194">
            <v>205</v>
          </cell>
        </row>
        <row r="195">
          <cell r="AV195" t="str">
            <v>1103200</v>
          </cell>
          <cell r="HA195">
            <v>308</v>
          </cell>
          <cell r="HE195">
            <v>165</v>
          </cell>
        </row>
        <row r="196">
          <cell r="AV196" t="str">
            <v>1103200</v>
          </cell>
          <cell r="HA196">
            <v>56</v>
          </cell>
          <cell r="HE196">
            <v>46</v>
          </cell>
        </row>
        <row r="197">
          <cell r="AV197" t="str">
            <v>1103200</v>
          </cell>
          <cell r="HA197">
            <v>44</v>
          </cell>
          <cell r="HE197">
            <v>10</v>
          </cell>
        </row>
        <row r="198">
          <cell r="AV198" t="str">
            <v>1103200</v>
          </cell>
          <cell r="HA198">
            <v>27</v>
          </cell>
          <cell r="HE198">
            <v>10</v>
          </cell>
        </row>
        <row r="199">
          <cell r="HA199">
            <v>933</v>
          </cell>
          <cell r="HE199">
            <v>455</v>
          </cell>
        </row>
        <row r="200">
          <cell r="HA200">
            <v>60149</v>
          </cell>
          <cell r="HE200">
            <v>25684</v>
          </cell>
        </row>
        <row r="201">
          <cell r="HA201">
            <v>1.5511479825101E-2</v>
          </cell>
          <cell r="HE201">
            <v>1.7715309141878213E-2</v>
          </cell>
        </row>
        <row r="202">
          <cell r="AV202">
            <v>1103202</v>
          </cell>
        </row>
        <row r="203">
          <cell r="AV203">
            <v>1103202</v>
          </cell>
        </row>
        <row r="204">
          <cell r="AV204">
            <v>1103202</v>
          </cell>
        </row>
        <row r="205">
          <cell r="AV205">
            <v>1103202</v>
          </cell>
        </row>
        <row r="206">
          <cell r="AV206">
            <v>1103202</v>
          </cell>
        </row>
        <row r="207">
          <cell r="AV207">
            <v>1103202</v>
          </cell>
        </row>
        <row r="211">
          <cell r="AV211">
            <v>1103201</v>
          </cell>
          <cell r="HA211">
            <v>0</v>
          </cell>
          <cell r="HE211">
            <v>0</v>
          </cell>
        </row>
        <row r="212">
          <cell r="AV212">
            <v>1103201</v>
          </cell>
          <cell r="HA212">
            <v>0</v>
          </cell>
          <cell r="HE212">
            <v>0</v>
          </cell>
        </row>
        <row r="213">
          <cell r="AV213">
            <v>1103201</v>
          </cell>
          <cell r="HA213">
            <v>0</v>
          </cell>
          <cell r="HE213">
            <v>0</v>
          </cell>
        </row>
        <row r="214">
          <cell r="AV214">
            <v>1103201</v>
          </cell>
          <cell r="HA214">
            <v>0</v>
          </cell>
          <cell r="HE214">
            <v>0</v>
          </cell>
        </row>
        <row r="215">
          <cell r="AV215">
            <v>1103201</v>
          </cell>
          <cell r="HA215">
            <v>0</v>
          </cell>
          <cell r="HE215">
            <v>0</v>
          </cell>
        </row>
        <row r="216">
          <cell r="AV216">
            <v>1103201</v>
          </cell>
          <cell r="HA216">
            <v>0</v>
          </cell>
          <cell r="HE216">
            <v>0</v>
          </cell>
        </row>
        <row r="217">
          <cell r="HA217">
            <v>0</v>
          </cell>
          <cell r="HE217">
            <v>0</v>
          </cell>
        </row>
        <row r="218">
          <cell r="HA218">
            <v>0</v>
          </cell>
          <cell r="HE218">
            <v>0</v>
          </cell>
        </row>
        <row r="219">
          <cell r="HA219">
            <v>0</v>
          </cell>
          <cell r="HE219">
            <v>0</v>
          </cell>
        </row>
        <row r="220">
          <cell r="AV220" t="str">
            <v>1104001</v>
          </cell>
          <cell r="HA220">
            <v>0</v>
          </cell>
          <cell r="HE220">
            <v>0</v>
          </cell>
        </row>
        <row r="221">
          <cell r="AV221" t="str">
            <v>1104001</v>
          </cell>
          <cell r="HA221">
            <v>0</v>
          </cell>
          <cell r="HE221">
            <v>0</v>
          </cell>
        </row>
        <row r="222">
          <cell r="AV222" t="str">
            <v>1104001</v>
          </cell>
          <cell r="HA222">
            <v>0</v>
          </cell>
          <cell r="HE222">
            <v>0</v>
          </cell>
        </row>
        <row r="223">
          <cell r="AV223" t="str">
            <v>1104001</v>
          </cell>
          <cell r="HA223">
            <v>0</v>
          </cell>
          <cell r="HE223">
            <v>0</v>
          </cell>
        </row>
        <row r="224">
          <cell r="AV224" t="str">
            <v>1104001</v>
          </cell>
          <cell r="HA224">
            <v>0</v>
          </cell>
          <cell r="HE224">
            <v>0</v>
          </cell>
        </row>
        <row r="225">
          <cell r="AV225" t="str">
            <v>1104001</v>
          </cell>
          <cell r="HA225">
            <v>0</v>
          </cell>
          <cell r="HE225">
            <v>0</v>
          </cell>
        </row>
        <row r="226">
          <cell r="HA226">
            <v>0</v>
          </cell>
          <cell r="HE226">
            <v>0</v>
          </cell>
        </row>
        <row r="227">
          <cell r="HA227">
            <v>0</v>
          </cell>
          <cell r="HE227">
            <v>0</v>
          </cell>
        </row>
        <row r="228">
          <cell r="HA228">
            <v>0</v>
          </cell>
          <cell r="HE228">
            <v>0</v>
          </cell>
        </row>
        <row r="229">
          <cell r="AV229">
            <v>1104002</v>
          </cell>
          <cell r="HA229">
            <v>0</v>
          </cell>
          <cell r="HE229">
            <v>0</v>
          </cell>
        </row>
        <row r="230">
          <cell r="AV230">
            <v>1104002</v>
          </cell>
          <cell r="HA230">
            <v>0</v>
          </cell>
          <cell r="HE230">
            <v>0</v>
          </cell>
        </row>
        <row r="231">
          <cell r="AV231">
            <v>1104002</v>
          </cell>
          <cell r="HA231">
            <v>0</v>
          </cell>
          <cell r="HE231">
            <v>0</v>
          </cell>
        </row>
        <row r="232">
          <cell r="AV232">
            <v>1104002</v>
          </cell>
          <cell r="HA232">
            <v>0</v>
          </cell>
          <cell r="HE232">
            <v>0</v>
          </cell>
        </row>
        <row r="233">
          <cell r="AV233">
            <v>1104002</v>
          </cell>
          <cell r="HA233">
            <v>0</v>
          </cell>
          <cell r="HE233">
            <v>0</v>
          </cell>
        </row>
        <row r="234">
          <cell r="AV234">
            <v>1104002</v>
          </cell>
          <cell r="HA234">
            <v>0</v>
          </cell>
          <cell r="HE234">
            <v>0</v>
          </cell>
        </row>
        <row r="235">
          <cell r="HA235">
            <v>0</v>
          </cell>
          <cell r="HE235">
            <v>0</v>
          </cell>
        </row>
        <row r="236">
          <cell r="HA236">
            <v>0</v>
          </cell>
          <cell r="HE236">
            <v>0</v>
          </cell>
        </row>
        <row r="237">
          <cell r="HA237">
            <v>0</v>
          </cell>
          <cell r="HE237">
            <v>0</v>
          </cell>
        </row>
        <row r="238">
          <cell r="AV238" t="str">
            <v>1104003</v>
          </cell>
          <cell r="HA238">
            <v>10</v>
          </cell>
          <cell r="HE238">
            <v>0</v>
          </cell>
        </row>
        <row r="239">
          <cell r="AV239" t="str">
            <v>1104003</v>
          </cell>
          <cell r="HA239">
            <v>146</v>
          </cell>
          <cell r="HE239">
            <v>0</v>
          </cell>
        </row>
        <row r="240">
          <cell r="AV240" t="str">
            <v>1104003</v>
          </cell>
          <cell r="HA240">
            <v>100</v>
          </cell>
          <cell r="HE240">
            <v>0</v>
          </cell>
        </row>
        <row r="241">
          <cell r="AV241" t="str">
            <v>1104003</v>
          </cell>
          <cell r="HA241">
            <v>30</v>
          </cell>
          <cell r="HE241">
            <v>0</v>
          </cell>
        </row>
        <row r="242">
          <cell r="AV242" t="str">
            <v>1104003</v>
          </cell>
          <cell r="HA242">
            <v>15</v>
          </cell>
          <cell r="HE242">
            <v>0</v>
          </cell>
        </row>
        <row r="243">
          <cell r="AV243" t="str">
            <v>1104003</v>
          </cell>
          <cell r="HA243">
            <v>10</v>
          </cell>
          <cell r="HE243">
            <v>0</v>
          </cell>
        </row>
        <row r="244">
          <cell r="HA244">
            <v>311</v>
          </cell>
          <cell r="HE244">
            <v>0</v>
          </cell>
        </row>
        <row r="245">
          <cell r="HA245">
            <v>12354</v>
          </cell>
          <cell r="HE245">
            <v>0</v>
          </cell>
        </row>
        <row r="246">
          <cell r="HA246">
            <v>2.5174032701958879E-2</v>
          </cell>
          <cell r="HE246">
            <v>0</v>
          </cell>
        </row>
        <row r="247">
          <cell r="AV247" t="str">
            <v>1104007</v>
          </cell>
          <cell r="HE247">
            <v>14</v>
          </cell>
        </row>
        <row r="248">
          <cell r="AV248" t="str">
            <v>1104007</v>
          </cell>
          <cell r="HE248">
            <v>89</v>
          </cell>
        </row>
        <row r="249">
          <cell r="AV249" t="str">
            <v>1104007</v>
          </cell>
          <cell r="HE249">
            <v>91</v>
          </cell>
        </row>
        <row r="250">
          <cell r="AV250" t="str">
            <v>1104007</v>
          </cell>
          <cell r="HE250">
            <v>30</v>
          </cell>
        </row>
        <row r="251">
          <cell r="AV251" t="str">
            <v>1104007</v>
          </cell>
          <cell r="HE251">
            <v>15</v>
          </cell>
        </row>
        <row r="252">
          <cell r="AV252" t="str">
            <v>1104007</v>
          </cell>
          <cell r="HE252">
            <v>10</v>
          </cell>
        </row>
        <row r="253">
          <cell r="HE253">
            <v>249</v>
          </cell>
        </row>
        <row r="254">
          <cell r="HE254">
            <v>9710</v>
          </cell>
        </row>
        <row r="255">
          <cell r="HE255">
            <v>2.5643666323377962E-2</v>
          </cell>
        </row>
        <row r="256">
          <cell r="AV256" t="str">
            <v>1104005</v>
          </cell>
          <cell r="HA256">
            <v>0</v>
          </cell>
          <cell r="HE256">
            <v>0</v>
          </cell>
        </row>
        <row r="257">
          <cell r="AV257" t="str">
            <v>1104005</v>
          </cell>
          <cell r="HA257">
            <v>0</v>
          </cell>
          <cell r="HE257">
            <v>0</v>
          </cell>
        </row>
        <row r="258">
          <cell r="AV258" t="str">
            <v>1104005</v>
          </cell>
          <cell r="HA258">
            <v>0</v>
          </cell>
          <cell r="HE258">
            <v>0</v>
          </cell>
        </row>
        <row r="259">
          <cell r="AV259" t="str">
            <v>1104005</v>
          </cell>
          <cell r="HA259">
            <v>0</v>
          </cell>
          <cell r="HE259">
            <v>0</v>
          </cell>
        </row>
        <row r="260">
          <cell r="AV260" t="str">
            <v>1104005</v>
          </cell>
          <cell r="HA260">
            <v>0</v>
          </cell>
          <cell r="HE260">
            <v>0</v>
          </cell>
        </row>
        <row r="261">
          <cell r="AV261" t="str">
            <v>1104005</v>
          </cell>
          <cell r="HA261">
            <v>0</v>
          </cell>
          <cell r="HE261">
            <v>0</v>
          </cell>
        </row>
        <row r="262">
          <cell r="HA262">
            <v>0</v>
          </cell>
          <cell r="HE262">
            <v>0</v>
          </cell>
        </row>
        <row r="263">
          <cell r="HA263">
            <v>0</v>
          </cell>
          <cell r="HE263">
            <v>0</v>
          </cell>
        </row>
        <row r="264">
          <cell r="HA264">
            <v>0</v>
          </cell>
          <cell r="HE264">
            <v>0</v>
          </cell>
        </row>
        <row r="265">
          <cell r="AV265" t="str">
            <v>1104006</v>
          </cell>
          <cell r="HA265">
            <v>0</v>
          </cell>
          <cell r="HE265">
            <v>0</v>
          </cell>
        </row>
        <row r="266">
          <cell r="AV266" t="str">
            <v>1104006</v>
          </cell>
          <cell r="HA266">
            <v>0</v>
          </cell>
          <cell r="HE266">
            <v>0</v>
          </cell>
        </row>
        <row r="267">
          <cell r="AV267" t="str">
            <v>1104006</v>
          </cell>
          <cell r="HA267">
            <v>0</v>
          </cell>
          <cell r="HE267">
            <v>0</v>
          </cell>
        </row>
        <row r="268">
          <cell r="AV268" t="str">
            <v>1104006</v>
          </cell>
          <cell r="HA268">
            <v>0</v>
          </cell>
          <cell r="HE268">
            <v>0</v>
          </cell>
        </row>
        <row r="269">
          <cell r="AV269" t="str">
            <v>1104006</v>
          </cell>
          <cell r="HA269">
            <v>0</v>
          </cell>
          <cell r="HE269">
            <v>0</v>
          </cell>
        </row>
        <row r="270">
          <cell r="AV270" t="str">
            <v>1104006</v>
          </cell>
          <cell r="HA270">
            <v>0</v>
          </cell>
          <cell r="HE270">
            <v>0</v>
          </cell>
        </row>
        <row r="271">
          <cell r="HA271">
            <v>0</v>
          </cell>
          <cell r="HE271">
            <v>0</v>
          </cell>
        </row>
        <row r="272">
          <cell r="HA272">
            <v>0</v>
          </cell>
          <cell r="HE272">
            <v>0</v>
          </cell>
        </row>
        <row r="273">
          <cell r="HA273">
            <v>0</v>
          </cell>
          <cell r="HE273">
            <v>0</v>
          </cell>
        </row>
        <row r="274">
          <cell r="AV274" t="str">
            <v>1105002</v>
          </cell>
          <cell r="HA274">
            <v>0</v>
          </cell>
          <cell r="HE274">
            <v>0</v>
          </cell>
        </row>
        <row r="275">
          <cell r="AV275" t="str">
            <v>1105002</v>
          </cell>
        </row>
        <row r="276">
          <cell r="AV276" t="str">
            <v>1105002</v>
          </cell>
          <cell r="HA276">
            <v>0</v>
          </cell>
          <cell r="HE276">
            <v>0</v>
          </cell>
        </row>
        <row r="277">
          <cell r="AV277" t="str">
            <v>1105002</v>
          </cell>
          <cell r="HA277">
            <v>0</v>
          </cell>
          <cell r="HE277">
            <v>0</v>
          </cell>
        </row>
        <row r="278">
          <cell r="AV278" t="str">
            <v>1105002</v>
          </cell>
          <cell r="HA278">
            <v>0</v>
          </cell>
          <cell r="HE278">
            <v>0</v>
          </cell>
        </row>
        <row r="279">
          <cell r="AV279" t="str">
            <v>1105002</v>
          </cell>
          <cell r="HA279">
            <v>0</v>
          </cell>
          <cell r="HE279">
            <v>0</v>
          </cell>
        </row>
        <row r="280">
          <cell r="HA280">
            <v>0</v>
          </cell>
          <cell r="HE280">
            <v>0</v>
          </cell>
        </row>
        <row r="281">
          <cell r="HA281">
            <v>0</v>
          </cell>
          <cell r="HE281">
            <v>0</v>
          </cell>
        </row>
        <row r="282">
          <cell r="HA282">
            <v>0</v>
          </cell>
          <cell r="HE282">
            <v>0</v>
          </cell>
        </row>
        <row r="283">
          <cell r="AV283" t="str">
            <v>1105004</v>
          </cell>
          <cell r="HA283">
            <v>0</v>
          </cell>
          <cell r="HE283">
            <v>0</v>
          </cell>
        </row>
        <row r="284">
          <cell r="AV284" t="str">
            <v>1105004</v>
          </cell>
          <cell r="HA284">
            <v>0</v>
          </cell>
          <cell r="HE284">
            <v>0</v>
          </cell>
        </row>
        <row r="285">
          <cell r="AV285" t="str">
            <v>1105004</v>
          </cell>
          <cell r="HA285">
            <v>0</v>
          </cell>
          <cell r="HE285">
            <v>0</v>
          </cell>
        </row>
        <row r="286">
          <cell r="AV286" t="str">
            <v>1105004</v>
          </cell>
          <cell r="HA286">
            <v>0</v>
          </cell>
          <cell r="HE286">
            <v>0</v>
          </cell>
        </row>
        <row r="287">
          <cell r="AV287" t="str">
            <v>1105004</v>
          </cell>
          <cell r="HA287">
            <v>0</v>
          </cell>
          <cell r="HE287">
            <v>0</v>
          </cell>
        </row>
        <row r="288">
          <cell r="HA288">
            <v>0</v>
          </cell>
          <cell r="HE288">
            <v>0</v>
          </cell>
        </row>
        <row r="289">
          <cell r="HA289">
            <v>0</v>
          </cell>
          <cell r="HE289">
            <v>0</v>
          </cell>
        </row>
        <row r="290">
          <cell r="HA290">
            <v>0</v>
          </cell>
          <cell r="HE290">
            <v>0</v>
          </cell>
        </row>
        <row r="291">
          <cell r="AV291" t="str">
            <v>1105011</v>
          </cell>
          <cell r="HA291">
            <v>5</v>
          </cell>
          <cell r="HE291">
            <v>9</v>
          </cell>
        </row>
        <row r="292">
          <cell r="AV292" t="str">
            <v>1105011</v>
          </cell>
          <cell r="HA292">
            <v>236</v>
          </cell>
          <cell r="HE292">
            <v>69</v>
          </cell>
        </row>
        <row r="293">
          <cell r="AV293" t="str">
            <v>1105011</v>
          </cell>
          <cell r="HA293">
            <v>231</v>
          </cell>
          <cell r="HE293">
            <v>69</v>
          </cell>
        </row>
        <row r="294">
          <cell r="AV294" t="str">
            <v>1105011</v>
          </cell>
          <cell r="HA294">
            <v>50</v>
          </cell>
          <cell r="HE294">
            <v>28</v>
          </cell>
        </row>
        <row r="295">
          <cell r="AV295" t="str">
            <v>1105011</v>
          </cell>
          <cell r="HA295">
            <v>10</v>
          </cell>
          <cell r="HE295">
            <v>11</v>
          </cell>
        </row>
        <row r="296">
          <cell r="AV296" t="str">
            <v>1105011</v>
          </cell>
        </row>
        <row r="297">
          <cell r="AV297" t="str">
            <v>1105011</v>
          </cell>
          <cell r="HA297">
            <v>10</v>
          </cell>
          <cell r="HE297">
            <v>10</v>
          </cell>
        </row>
        <row r="298">
          <cell r="HA298">
            <v>542</v>
          </cell>
          <cell r="HE298">
            <v>196</v>
          </cell>
        </row>
        <row r="299">
          <cell r="HA299">
            <v>28072</v>
          </cell>
          <cell r="HE299">
            <v>9859</v>
          </cell>
        </row>
        <row r="300">
          <cell r="HA300">
            <v>1.9307495012824166E-2</v>
          </cell>
          <cell r="HE300">
            <v>1.9880312404909221E-2</v>
          </cell>
        </row>
        <row r="301">
          <cell r="AV301" t="str">
            <v>1105013</v>
          </cell>
          <cell r="HA301">
            <v>5</v>
          </cell>
          <cell r="HE301">
            <v>0</v>
          </cell>
        </row>
        <row r="302">
          <cell r="AV302" t="str">
            <v>1105013</v>
          </cell>
          <cell r="HA302">
            <v>10</v>
          </cell>
          <cell r="HE302">
            <v>0</v>
          </cell>
        </row>
        <row r="303">
          <cell r="AV303" t="str">
            <v>1105013</v>
          </cell>
          <cell r="HA303">
            <v>11</v>
          </cell>
          <cell r="HE303">
            <v>0</v>
          </cell>
        </row>
        <row r="304">
          <cell r="AV304" t="str">
            <v>1105013</v>
          </cell>
          <cell r="HA304">
            <v>20</v>
          </cell>
          <cell r="HE304">
            <v>0</v>
          </cell>
        </row>
        <row r="305">
          <cell r="AV305" t="str">
            <v>1105013</v>
          </cell>
          <cell r="HA305">
            <v>2</v>
          </cell>
          <cell r="HE305">
            <v>0</v>
          </cell>
        </row>
        <row r="306">
          <cell r="AV306" t="str">
            <v>1105013</v>
          </cell>
          <cell r="HA306">
            <v>2</v>
          </cell>
          <cell r="HE306">
            <v>0</v>
          </cell>
        </row>
        <row r="307">
          <cell r="HA307">
            <v>50</v>
          </cell>
          <cell r="HE307">
            <v>0</v>
          </cell>
        </row>
        <row r="308">
          <cell r="HA308">
            <v>1309</v>
          </cell>
          <cell r="HE308">
            <v>0</v>
          </cell>
        </row>
        <row r="309">
          <cell r="HA309">
            <v>3.819709702062643E-2</v>
          </cell>
          <cell r="HE309">
            <v>0</v>
          </cell>
        </row>
        <row r="310">
          <cell r="AV310" t="str">
            <v>1105012</v>
          </cell>
          <cell r="HE310">
            <v>2</v>
          </cell>
        </row>
        <row r="311">
          <cell r="AV311" t="str">
            <v>1105012</v>
          </cell>
          <cell r="HE311">
            <v>20</v>
          </cell>
        </row>
        <row r="312">
          <cell r="AV312" t="str">
            <v>1105012</v>
          </cell>
          <cell r="HE312">
            <v>20</v>
          </cell>
        </row>
        <row r="313">
          <cell r="AV313" t="str">
            <v>1105012</v>
          </cell>
          <cell r="HE313">
            <v>10</v>
          </cell>
        </row>
        <row r="314">
          <cell r="AV314" t="str">
            <v>1105012</v>
          </cell>
          <cell r="HE314">
            <v>0</v>
          </cell>
        </row>
        <row r="315">
          <cell r="AV315" t="str">
            <v>1105012</v>
          </cell>
          <cell r="HE315">
            <v>0</v>
          </cell>
        </row>
        <row r="316">
          <cell r="HE316">
            <v>52</v>
          </cell>
        </row>
        <row r="317">
          <cell r="HE317">
            <v>2172</v>
          </cell>
        </row>
        <row r="318">
          <cell r="HE318">
            <v>2.3941068139963169E-2</v>
          </cell>
        </row>
        <row r="319">
          <cell r="AV319" t="str">
            <v>1105014</v>
          </cell>
          <cell r="HA319">
            <v>0</v>
          </cell>
          <cell r="HE319">
            <v>0</v>
          </cell>
        </row>
        <row r="320">
          <cell r="AV320" t="str">
            <v>1105014</v>
          </cell>
          <cell r="HA320">
            <v>0</v>
          </cell>
          <cell r="HE320">
            <v>0</v>
          </cell>
        </row>
        <row r="321">
          <cell r="AV321" t="str">
            <v>1105014</v>
          </cell>
          <cell r="HA321">
            <v>0</v>
          </cell>
          <cell r="HE321">
            <v>0</v>
          </cell>
        </row>
        <row r="322">
          <cell r="AV322" t="str">
            <v>1105014</v>
          </cell>
          <cell r="HA322">
            <v>0</v>
          </cell>
          <cell r="HE322">
            <v>0</v>
          </cell>
        </row>
        <row r="323">
          <cell r="AV323" t="str">
            <v>1105014</v>
          </cell>
          <cell r="HA323">
            <v>0</v>
          </cell>
          <cell r="HE323">
            <v>0</v>
          </cell>
        </row>
        <row r="324">
          <cell r="AV324" t="str">
            <v>1105014</v>
          </cell>
          <cell r="HA324">
            <v>0</v>
          </cell>
          <cell r="HE324">
            <v>0</v>
          </cell>
        </row>
        <row r="325">
          <cell r="HA325">
            <v>0</v>
          </cell>
          <cell r="HE325">
            <v>0</v>
          </cell>
        </row>
        <row r="326">
          <cell r="HA326">
            <v>0</v>
          </cell>
          <cell r="HE326">
            <v>0</v>
          </cell>
        </row>
        <row r="327">
          <cell r="HA327">
            <v>0</v>
          </cell>
          <cell r="HE327">
            <v>0</v>
          </cell>
        </row>
        <row r="328">
          <cell r="AV328" t="str">
            <v>1109006</v>
          </cell>
          <cell r="HA328">
            <v>0</v>
          </cell>
          <cell r="HE328">
            <v>0</v>
          </cell>
        </row>
        <row r="329">
          <cell r="AV329" t="str">
            <v>1109006</v>
          </cell>
          <cell r="HA329">
            <v>0</v>
          </cell>
          <cell r="HE329">
            <v>0</v>
          </cell>
        </row>
        <row r="330">
          <cell r="AV330" t="str">
            <v>1109006</v>
          </cell>
          <cell r="HA330">
            <v>0</v>
          </cell>
          <cell r="HE330">
            <v>0</v>
          </cell>
        </row>
        <row r="331">
          <cell r="AV331" t="str">
            <v>1109006</v>
          </cell>
          <cell r="HA331">
            <v>0</v>
          </cell>
          <cell r="HE331">
            <v>0</v>
          </cell>
        </row>
        <row r="332">
          <cell r="AV332" t="str">
            <v>1109006</v>
          </cell>
          <cell r="HA332">
            <v>0</v>
          </cell>
          <cell r="HE332">
            <v>0</v>
          </cell>
        </row>
        <row r="333">
          <cell r="AV333" t="str">
            <v>1109006</v>
          </cell>
          <cell r="HA333">
            <v>0</v>
          </cell>
          <cell r="HE333">
            <v>0</v>
          </cell>
        </row>
        <row r="334">
          <cell r="HA334">
            <v>0</v>
          </cell>
          <cell r="HE334">
            <v>0</v>
          </cell>
        </row>
        <row r="335">
          <cell r="HA335">
            <v>0</v>
          </cell>
        </row>
        <row r="336">
          <cell r="HA336">
            <v>0</v>
          </cell>
          <cell r="HE336">
            <v>0</v>
          </cell>
        </row>
        <row r="337">
          <cell r="AV337" t="str">
            <v>1105016</v>
          </cell>
          <cell r="HA337">
            <v>0</v>
          </cell>
          <cell r="HE337">
            <v>0</v>
          </cell>
        </row>
        <row r="338">
          <cell r="AV338" t="str">
            <v>1105016</v>
          </cell>
          <cell r="HA338">
            <v>0</v>
          </cell>
          <cell r="HE338">
            <v>0</v>
          </cell>
        </row>
        <row r="339">
          <cell r="AV339" t="str">
            <v>1105016</v>
          </cell>
          <cell r="HA339">
            <v>0</v>
          </cell>
          <cell r="HE339">
            <v>0</v>
          </cell>
        </row>
        <row r="340">
          <cell r="AV340" t="str">
            <v>1105016</v>
          </cell>
          <cell r="HA340">
            <v>0</v>
          </cell>
          <cell r="HE340">
            <v>0</v>
          </cell>
        </row>
        <row r="341">
          <cell r="AV341" t="str">
            <v>1105016</v>
          </cell>
          <cell r="HA341">
            <v>0</v>
          </cell>
          <cell r="HE341">
            <v>0</v>
          </cell>
        </row>
        <row r="342">
          <cell r="AV342" t="str">
            <v>1105016</v>
          </cell>
          <cell r="HA342">
            <v>0</v>
          </cell>
          <cell r="HE342">
            <v>0</v>
          </cell>
        </row>
        <row r="343">
          <cell r="HA343">
            <v>0</v>
          </cell>
          <cell r="HE343">
            <v>0</v>
          </cell>
        </row>
        <row r="344">
          <cell r="HA344">
            <v>0</v>
          </cell>
          <cell r="HE344">
            <v>0</v>
          </cell>
        </row>
        <row r="345">
          <cell r="HA345">
            <v>0</v>
          </cell>
          <cell r="HE345">
            <v>0</v>
          </cell>
        </row>
        <row r="346">
          <cell r="AV346" t="str">
            <v>1105019</v>
          </cell>
          <cell r="HA346">
            <v>0</v>
          </cell>
          <cell r="HE346">
            <v>0</v>
          </cell>
        </row>
        <row r="347">
          <cell r="AV347" t="str">
            <v>1105019</v>
          </cell>
          <cell r="HA347">
            <v>0</v>
          </cell>
          <cell r="HE347">
            <v>0</v>
          </cell>
        </row>
        <row r="348">
          <cell r="AV348" t="str">
            <v>1105019</v>
          </cell>
          <cell r="HA348">
            <v>0</v>
          </cell>
          <cell r="HE348">
            <v>0</v>
          </cell>
        </row>
        <row r="349">
          <cell r="AV349" t="str">
            <v>1105019</v>
          </cell>
          <cell r="HA349">
            <v>0</v>
          </cell>
          <cell r="HE349">
            <v>0</v>
          </cell>
        </row>
        <row r="350">
          <cell r="AV350" t="str">
            <v>1105019</v>
          </cell>
          <cell r="HA350">
            <v>0</v>
          </cell>
          <cell r="HE350">
            <v>0</v>
          </cell>
        </row>
        <row r="351">
          <cell r="HA351">
            <v>0</v>
          </cell>
          <cell r="HE351">
            <v>0</v>
          </cell>
        </row>
        <row r="352">
          <cell r="HA352">
            <v>0</v>
          </cell>
          <cell r="HE352">
            <v>0</v>
          </cell>
        </row>
        <row r="353">
          <cell r="HA353">
            <v>0</v>
          </cell>
          <cell r="HE353">
            <v>0</v>
          </cell>
        </row>
        <row r="354">
          <cell r="AV354" t="str">
            <v>1105030</v>
          </cell>
          <cell r="HA354">
            <v>0</v>
          </cell>
          <cell r="HE354">
            <v>0</v>
          </cell>
        </row>
        <row r="355">
          <cell r="AV355" t="str">
            <v>1105030</v>
          </cell>
          <cell r="HA355">
            <v>0</v>
          </cell>
          <cell r="HE355">
            <v>0</v>
          </cell>
        </row>
        <row r="356">
          <cell r="AV356" t="str">
            <v>1105030</v>
          </cell>
          <cell r="HA356">
            <v>0</v>
          </cell>
          <cell r="HE356">
            <v>0</v>
          </cell>
        </row>
        <row r="357">
          <cell r="AV357" t="str">
            <v>1105030</v>
          </cell>
          <cell r="HA357">
            <v>0</v>
          </cell>
          <cell r="HE357">
            <v>0</v>
          </cell>
        </row>
        <row r="358">
          <cell r="AV358" t="str">
            <v>1105030</v>
          </cell>
          <cell r="HA358">
            <v>0</v>
          </cell>
          <cell r="HE358">
            <v>0</v>
          </cell>
        </row>
        <row r="359">
          <cell r="AV359" t="str">
            <v>1105030</v>
          </cell>
          <cell r="HA359">
            <v>0</v>
          </cell>
          <cell r="HE359">
            <v>0</v>
          </cell>
        </row>
        <row r="360">
          <cell r="HA360">
            <v>0</v>
          </cell>
          <cell r="HE360">
            <v>0</v>
          </cell>
        </row>
        <row r="361">
          <cell r="HA361">
            <v>0</v>
          </cell>
          <cell r="HE361">
            <v>0</v>
          </cell>
        </row>
        <row r="362">
          <cell r="HA362">
            <v>0</v>
          </cell>
          <cell r="HE362">
            <v>0</v>
          </cell>
        </row>
        <row r="363">
          <cell r="AV363" t="str">
            <v>1106000</v>
          </cell>
          <cell r="HA363">
            <v>0</v>
          </cell>
          <cell r="HE363">
            <v>0</v>
          </cell>
        </row>
        <row r="364">
          <cell r="AV364" t="str">
            <v>1106000</v>
          </cell>
          <cell r="HA364">
            <v>0</v>
          </cell>
          <cell r="HE364">
            <v>0</v>
          </cell>
        </row>
        <row r="365">
          <cell r="AV365" t="str">
            <v>1106000</v>
          </cell>
          <cell r="HA365">
            <v>0</v>
          </cell>
          <cell r="HE365">
            <v>0</v>
          </cell>
        </row>
        <row r="366">
          <cell r="AV366" t="str">
            <v>1106000</v>
          </cell>
          <cell r="HA366">
            <v>0</v>
          </cell>
          <cell r="HE366">
            <v>0</v>
          </cell>
        </row>
        <row r="367">
          <cell r="AV367" t="str">
            <v>1106000</v>
          </cell>
          <cell r="HA367">
            <v>0</v>
          </cell>
          <cell r="HE367">
            <v>0</v>
          </cell>
        </row>
        <row r="368">
          <cell r="AV368" t="str">
            <v>1106000</v>
          </cell>
          <cell r="HA368">
            <v>0</v>
          </cell>
          <cell r="HE368">
            <v>0</v>
          </cell>
        </row>
        <row r="369">
          <cell r="HA369">
            <v>0</v>
          </cell>
          <cell r="HE369">
            <v>0</v>
          </cell>
        </row>
        <row r="370">
          <cell r="HA370">
            <v>0</v>
          </cell>
          <cell r="HE370">
            <v>0</v>
          </cell>
        </row>
        <row r="371">
          <cell r="HA371">
            <v>0</v>
          </cell>
          <cell r="HE371">
            <v>0</v>
          </cell>
        </row>
        <row r="372">
          <cell r="AV372" t="str">
            <v>1106005</v>
          </cell>
          <cell r="HA372">
            <v>0</v>
          </cell>
          <cell r="HE372">
            <v>0</v>
          </cell>
        </row>
        <row r="373">
          <cell r="AV373" t="str">
            <v>1106005</v>
          </cell>
          <cell r="HA373">
            <v>0</v>
          </cell>
          <cell r="HE373">
            <v>0</v>
          </cell>
        </row>
        <row r="374">
          <cell r="AV374" t="str">
            <v>1106005</v>
          </cell>
          <cell r="HA374">
            <v>0</v>
          </cell>
          <cell r="HE374">
            <v>0</v>
          </cell>
        </row>
        <row r="375">
          <cell r="AV375" t="str">
            <v>1106005</v>
          </cell>
          <cell r="HA375">
            <v>0</v>
          </cell>
          <cell r="HE375">
            <v>0</v>
          </cell>
        </row>
        <row r="376">
          <cell r="AV376" t="str">
            <v>1106005</v>
          </cell>
          <cell r="HA376">
            <v>0</v>
          </cell>
          <cell r="HE376">
            <v>0</v>
          </cell>
        </row>
        <row r="377">
          <cell r="AV377" t="str">
            <v>1106005</v>
          </cell>
          <cell r="HA377">
            <v>0</v>
          </cell>
          <cell r="HE377">
            <v>0</v>
          </cell>
        </row>
        <row r="378">
          <cell r="HA378">
            <v>0</v>
          </cell>
          <cell r="HE378">
            <v>0</v>
          </cell>
        </row>
        <row r="379">
          <cell r="HA379">
            <v>0</v>
          </cell>
          <cell r="HE379">
            <v>0</v>
          </cell>
        </row>
        <row r="380">
          <cell r="HA380">
            <v>0</v>
          </cell>
          <cell r="HE380">
            <v>0</v>
          </cell>
        </row>
        <row r="381">
          <cell r="AV381">
            <v>1106008</v>
          </cell>
        </row>
        <row r="382">
          <cell r="AV382">
            <v>1106008</v>
          </cell>
        </row>
        <row r="383">
          <cell r="AV383">
            <v>1106008</v>
          </cell>
        </row>
        <row r="384">
          <cell r="AV384">
            <v>1106008</v>
          </cell>
        </row>
        <row r="385">
          <cell r="AV385">
            <v>1106008</v>
          </cell>
        </row>
        <row r="386">
          <cell r="AV386">
            <v>1106008</v>
          </cell>
        </row>
        <row r="390">
          <cell r="AV390" t="str">
            <v>1106009</v>
          </cell>
          <cell r="HA390">
            <v>25</v>
          </cell>
          <cell r="HE390">
            <v>0</v>
          </cell>
        </row>
        <row r="391">
          <cell r="AV391" t="str">
            <v>1106009</v>
          </cell>
          <cell r="HA391">
            <v>419</v>
          </cell>
          <cell r="HE391">
            <v>0</v>
          </cell>
        </row>
        <row r="392">
          <cell r="AV392" t="str">
            <v>1106009</v>
          </cell>
          <cell r="HA392">
            <v>408</v>
          </cell>
          <cell r="HE392">
            <v>0</v>
          </cell>
        </row>
        <row r="393">
          <cell r="AV393" t="str">
            <v>1106009</v>
          </cell>
          <cell r="HA393">
            <v>154.5</v>
          </cell>
          <cell r="HE393">
            <v>0</v>
          </cell>
        </row>
        <row r="394">
          <cell r="AV394" t="str">
            <v>1106009</v>
          </cell>
          <cell r="HA394">
            <v>31</v>
          </cell>
          <cell r="HE394">
            <v>0</v>
          </cell>
        </row>
        <row r="395">
          <cell r="AV395" t="str">
            <v>1106009</v>
          </cell>
          <cell r="HA395">
            <v>31</v>
          </cell>
          <cell r="HE395">
            <v>0</v>
          </cell>
        </row>
        <row r="396">
          <cell r="HA396">
            <v>1068.5</v>
          </cell>
          <cell r="HE396">
            <v>0</v>
          </cell>
        </row>
        <row r="397">
          <cell r="HA397">
            <v>81739.5</v>
          </cell>
          <cell r="HE397">
            <v>0</v>
          </cell>
        </row>
        <row r="398">
          <cell r="HA398">
            <v>1.3072015365887974E-2</v>
          </cell>
          <cell r="HE398">
            <v>0</v>
          </cell>
        </row>
        <row r="399">
          <cell r="AV399" t="str">
            <v>1109002</v>
          </cell>
          <cell r="HA399">
            <v>82</v>
          </cell>
          <cell r="HE399">
            <v>143</v>
          </cell>
        </row>
        <row r="400">
          <cell r="AV400" t="str">
            <v>1109002</v>
          </cell>
          <cell r="HA400">
            <v>86</v>
          </cell>
          <cell r="HE400">
            <v>71</v>
          </cell>
        </row>
        <row r="401">
          <cell r="AV401" t="str">
            <v>1109002</v>
          </cell>
          <cell r="HA401">
            <v>25</v>
          </cell>
          <cell r="HE401">
            <v>29</v>
          </cell>
        </row>
        <row r="402">
          <cell r="AV402" t="str">
            <v>1109002</v>
          </cell>
          <cell r="HA402">
            <v>11</v>
          </cell>
          <cell r="HE402">
            <v>14</v>
          </cell>
        </row>
        <row r="403">
          <cell r="AV403" t="str">
            <v>1109002</v>
          </cell>
          <cell r="HA403">
            <v>447</v>
          </cell>
          <cell r="HE403">
            <v>948</v>
          </cell>
        </row>
        <row r="404">
          <cell r="AV404" t="str">
            <v>1109002</v>
          </cell>
          <cell r="HA404">
            <v>7</v>
          </cell>
          <cell r="HE404">
            <v>12</v>
          </cell>
        </row>
        <row r="405">
          <cell r="HA405">
            <v>658</v>
          </cell>
          <cell r="HE405">
            <v>1217</v>
          </cell>
        </row>
        <row r="406">
          <cell r="HA406">
            <v>23991</v>
          </cell>
          <cell r="HE406">
            <v>46625</v>
          </cell>
        </row>
        <row r="407">
          <cell r="HA407">
            <v>2.7426951773581759E-2</v>
          </cell>
          <cell r="HE407">
            <v>2.6101876675603219E-2</v>
          </cell>
        </row>
        <row r="408">
          <cell r="AV408" t="str">
            <v>1109005</v>
          </cell>
          <cell r="HA408">
            <v>0</v>
          </cell>
          <cell r="HE408">
            <v>0</v>
          </cell>
        </row>
        <row r="409">
          <cell r="AV409" t="str">
            <v>1109005</v>
          </cell>
          <cell r="HA409">
            <v>0</v>
          </cell>
          <cell r="HE409">
            <v>0</v>
          </cell>
        </row>
        <row r="410">
          <cell r="AV410" t="str">
            <v>1109005</v>
          </cell>
          <cell r="HA410">
            <v>0</v>
          </cell>
          <cell r="HE410">
            <v>0</v>
          </cell>
        </row>
        <row r="411">
          <cell r="AV411" t="str">
            <v>1109005</v>
          </cell>
          <cell r="HA411">
            <v>0</v>
          </cell>
          <cell r="HE411">
            <v>0</v>
          </cell>
        </row>
        <row r="412">
          <cell r="AV412" t="str">
            <v>1109005</v>
          </cell>
          <cell r="HA412">
            <v>0</v>
          </cell>
          <cell r="HE412">
            <v>0</v>
          </cell>
        </row>
        <row r="413">
          <cell r="AV413" t="str">
            <v>1109005</v>
          </cell>
          <cell r="HA413">
            <v>0</v>
          </cell>
          <cell r="HE413">
            <v>0</v>
          </cell>
        </row>
        <row r="414">
          <cell r="HA414">
            <v>0</v>
          </cell>
          <cell r="HE414">
            <v>0</v>
          </cell>
        </row>
        <row r="415">
          <cell r="HA415">
            <v>0</v>
          </cell>
          <cell r="HE415">
            <v>0</v>
          </cell>
        </row>
        <row r="416">
          <cell r="AV416" t="str">
            <v>1109005</v>
          </cell>
        </row>
        <row r="417">
          <cell r="HA417">
            <v>0</v>
          </cell>
          <cell r="HE417">
            <v>0</v>
          </cell>
        </row>
        <row r="418">
          <cell r="AV418" t="str">
            <v>1105020</v>
          </cell>
          <cell r="HA418">
            <v>0</v>
          </cell>
          <cell r="HE418">
            <v>0</v>
          </cell>
        </row>
        <row r="419">
          <cell r="AV419" t="str">
            <v>1105020</v>
          </cell>
          <cell r="HA419">
            <v>0</v>
          </cell>
          <cell r="HE419">
            <v>0</v>
          </cell>
        </row>
        <row r="420">
          <cell r="AV420" t="str">
            <v>1105020</v>
          </cell>
          <cell r="HA420">
            <v>0</v>
          </cell>
          <cell r="HE420">
            <v>0</v>
          </cell>
        </row>
        <row r="421">
          <cell r="AV421" t="str">
            <v>1105020</v>
          </cell>
          <cell r="HA421">
            <v>0</v>
          </cell>
          <cell r="HE421">
            <v>0</v>
          </cell>
        </row>
        <row r="422">
          <cell r="AV422" t="str">
            <v>1105020</v>
          </cell>
          <cell r="HA422">
            <v>0</v>
          </cell>
          <cell r="HE422">
            <v>0</v>
          </cell>
        </row>
        <row r="423">
          <cell r="AV423" t="str">
            <v>1105020</v>
          </cell>
          <cell r="HA423">
            <v>0</v>
          </cell>
          <cell r="HE423">
            <v>0</v>
          </cell>
        </row>
        <row r="424">
          <cell r="HA424">
            <v>0</v>
          </cell>
          <cell r="HE424">
            <v>0</v>
          </cell>
        </row>
        <row r="425">
          <cell r="HA425">
            <v>0</v>
          </cell>
          <cell r="HE425">
            <v>0</v>
          </cell>
        </row>
        <row r="426">
          <cell r="HA426">
            <v>0</v>
          </cell>
          <cell r="HE426">
            <v>0</v>
          </cell>
        </row>
        <row r="427">
          <cell r="AV427" t="str">
            <v>1107002</v>
          </cell>
          <cell r="HA427">
            <v>451</v>
          </cell>
          <cell r="HE427">
            <v>243</v>
          </cell>
        </row>
        <row r="428">
          <cell r="AV428" t="str">
            <v>1107002</v>
          </cell>
          <cell r="HA428">
            <v>452</v>
          </cell>
          <cell r="HE428">
            <v>201</v>
          </cell>
        </row>
        <row r="429">
          <cell r="AV429" t="str">
            <v>1107002</v>
          </cell>
          <cell r="HA429">
            <v>77</v>
          </cell>
          <cell r="HE429">
            <v>45</v>
          </cell>
        </row>
        <row r="430">
          <cell r="AV430" t="str">
            <v>1107002</v>
          </cell>
          <cell r="HA430">
            <v>31</v>
          </cell>
          <cell r="HE430">
            <v>22</v>
          </cell>
        </row>
        <row r="431">
          <cell r="AV431" t="str">
            <v>1107002</v>
          </cell>
          <cell r="HA431">
            <v>23</v>
          </cell>
          <cell r="HE431">
            <v>25</v>
          </cell>
        </row>
        <row r="432">
          <cell r="AV432" t="str">
            <v>1107002</v>
          </cell>
          <cell r="HA432">
            <v>28</v>
          </cell>
          <cell r="HE432">
            <v>17</v>
          </cell>
        </row>
        <row r="433">
          <cell r="HA433">
            <v>1062</v>
          </cell>
          <cell r="HE433">
            <v>553</v>
          </cell>
        </row>
        <row r="434">
          <cell r="HA434">
            <v>64463</v>
          </cell>
          <cell r="HE434">
            <v>32861</v>
          </cell>
        </row>
        <row r="435">
          <cell r="HA435">
            <v>1.6474566805764548E-2</v>
          </cell>
          <cell r="HE435">
            <v>1.6828459267825082E-2</v>
          </cell>
        </row>
        <row r="436">
          <cell r="AV436" t="str">
            <v>1103066</v>
          </cell>
        </row>
        <row r="437">
          <cell r="AV437" t="str">
            <v>1103066</v>
          </cell>
        </row>
        <row r="438">
          <cell r="AV438" t="str">
            <v>1103066</v>
          </cell>
        </row>
        <row r="442">
          <cell r="AV442" t="str">
            <v>1501001</v>
          </cell>
          <cell r="HA442">
            <v>102</v>
          </cell>
          <cell r="HE442">
            <v>71</v>
          </cell>
        </row>
        <row r="443">
          <cell r="AV443" t="str">
            <v>1501001</v>
          </cell>
          <cell r="HA443">
            <v>0</v>
          </cell>
          <cell r="HE443">
            <v>0</v>
          </cell>
        </row>
        <row r="444">
          <cell r="AV444" t="str">
            <v>1501001</v>
          </cell>
          <cell r="HA444">
            <v>264</v>
          </cell>
          <cell r="HE444">
            <v>150.85</v>
          </cell>
        </row>
        <row r="445">
          <cell r="AV445" t="str">
            <v>1501001</v>
          </cell>
          <cell r="HA445">
            <v>106</v>
          </cell>
          <cell r="HE445">
            <v>118</v>
          </cell>
        </row>
        <row r="446">
          <cell r="AV446" t="str">
            <v>1501001</v>
          </cell>
          <cell r="HA446">
            <v>0</v>
          </cell>
          <cell r="HE446">
            <v>0</v>
          </cell>
        </row>
        <row r="447">
          <cell r="AV447" t="str">
            <v>1501001</v>
          </cell>
          <cell r="HA447">
            <v>73</v>
          </cell>
          <cell r="HE447">
            <v>98</v>
          </cell>
        </row>
        <row r="448">
          <cell r="HA448">
            <v>545</v>
          </cell>
          <cell r="HE448">
            <v>437.85</v>
          </cell>
        </row>
        <row r="449">
          <cell r="HA449">
            <v>1204</v>
          </cell>
          <cell r="HE449">
            <v>471.85</v>
          </cell>
        </row>
        <row r="450">
          <cell r="HA450">
            <v>0.45265780730897009</v>
          </cell>
          <cell r="HE450">
            <v>0.92794320228886296</v>
          </cell>
        </row>
        <row r="451">
          <cell r="AV451" t="str">
            <v>1501101</v>
          </cell>
          <cell r="HA451">
            <v>0</v>
          </cell>
          <cell r="HE451">
            <v>0</v>
          </cell>
        </row>
        <row r="452">
          <cell r="AV452" t="str">
            <v>1501101</v>
          </cell>
          <cell r="HA452">
            <v>0</v>
          </cell>
          <cell r="HE452">
            <v>0</v>
          </cell>
        </row>
        <row r="453">
          <cell r="AV453" t="str">
            <v>1501101</v>
          </cell>
          <cell r="HA453">
            <v>0</v>
          </cell>
          <cell r="HE453">
            <v>0</v>
          </cell>
        </row>
        <row r="454">
          <cell r="AV454" t="str">
            <v>1501101</v>
          </cell>
          <cell r="HA454">
            <v>0</v>
          </cell>
          <cell r="HE454">
            <v>0</v>
          </cell>
        </row>
        <row r="455">
          <cell r="AV455" t="str">
            <v>1501101</v>
          </cell>
          <cell r="HA455">
            <v>0</v>
          </cell>
          <cell r="HE455">
            <v>0</v>
          </cell>
        </row>
        <row r="456">
          <cell r="AV456" t="str">
            <v>1501101</v>
          </cell>
          <cell r="HA456">
            <v>0</v>
          </cell>
          <cell r="HE456">
            <v>0</v>
          </cell>
        </row>
        <row r="457">
          <cell r="AV457" t="str">
            <v>1501101</v>
          </cell>
          <cell r="HA457">
            <v>0</v>
          </cell>
          <cell r="HE457">
            <v>0</v>
          </cell>
        </row>
        <row r="458">
          <cell r="AV458" t="str">
            <v>1501101</v>
          </cell>
          <cell r="HA458">
            <v>0</v>
          </cell>
          <cell r="HE458">
            <v>0</v>
          </cell>
        </row>
        <row r="459">
          <cell r="AV459" t="str">
            <v>1501101</v>
          </cell>
          <cell r="HA459">
            <v>0</v>
          </cell>
          <cell r="HE459">
            <v>0</v>
          </cell>
        </row>
        <row r="460">
          <cell r="HA460">
            <v>0</v>
          </cell>
          <cell r="HE460">
            <v>0</v>
          </cell>
        </row>
        <row r="461">
          <cell r="HA461">
            <v>0</v>
          </cell>
          <cell r="HE461">
            <v>0</v>
          </cell>
        </row>
        <row r="462">
          <cell r="HA462">
            <v>0</v>
          </cell>
          <cell r="HE462">
            <v>0</v>
          </cell>
        </row>
        <row r="463">
          <cell r="HA463">
            <v>8233.5</v>
          </cell>
          <cell r="HE463">
            <v>7519.85</v>
          </cell>
        </row>
        <row r="464">
          <cell r="HA464">
            <v>443287.5</v>
          </cell>
          <cell r="HE464">
            <v>402198.85</v>
          </cell>
        </row>
        <row r="465">
          <cell r="AV465" t="str">
            <v>1213102</v>
          </cell>
          <cell r="HA465">
            <v>877</v>
          </cell>
          <cell r="HE465">
            <v>0</v>
          </cell>
        </row>
        <row r="466">
          <cell r="AV466" t="str">
            <v>1213102</v>
          </cell>
          <cell r="HA466">
            <v>1701</v>
          </cell>
          <cell r="HE466">
            <v>0</v>
          </cell>
        </row>
        <row r="467">
          <cell r="AV467" t="str">
            <v>1213102</v>
          </cell>
          <cell r="HA467">
            <v>28</v>
          </cell>
          <cell r="HE467">
            <v>0</v>
          </cell>
        </row>
        <row r="468">
          <cell r="AV468" t="str">
            <v>1213102</v>
          </cell>
          <cell r="HA468">
            <v>-62</v>
          </cell>
          <cell r="HE468">
            <v>0</v>
          </cell>
        </row>
        <row r="469">
          <cell r="AV469" t="str">
            <v>1213102</v>
          </cell>
          <cell r="HA469">
            <v>74</v>
          </cell>
          <cell r="HE469">
            <v>0</v>
          </cell>
        </row>
        <row r="470">
          <cell r="AV470" t="str">
            <v>1213102</v>
          </cell>
          <cell r="HA470">
            <v>28</v>
          </cell>
          <cell r="HE470">
            <v>0</v>
          </cell>
        </row>
        <row r="471">
          <cell r="HA471">
            <v>-2578</v>
          </cell>
          <cell r="HE471">
            <v>0</v>
          </cell>
        </row>
        <row r="472">
          <cell r="HA472">
            <v>68</v>
          </cell>
          <cell r="HE472">
            <v>0</v>
          </cell>
        </row>
        <row r="473">
          <cell r="HA473">
            <v>17514</v>
          </cell>
          <cell r="HE473">
            <v>0</v>
          </cell>
        </row>
        <row r="474">
          <cell r="HA474">
            <v>3.8826081991549617E-3</v>
          </cell>
          <cell r="HE474">
            <v>0</v>
          </cell>
        </row>
        <row r="475">
          <cell r="AV475" t="str">
            <v>1213104</v>
          </cell>
          <cell r="HA475">
            <v>0</v>
          </cell>
          <cell r="HE475">
            <v>0</v>
          </cell>
        </row>
        <row r="476">
          <cell r="AV476" t="str">
            <v>1213104</v>
          </cell>
          <cell r="HA476">
            <v>0</v>
          </cell>
          <cell r="HE476">
            <v>0</v>
          </cell>
        </row>
        <row r="477">
          <cell r="AV477" t="str">
            <v>1213104</v>
          </cell>
          <cell r="HA477">
            <v>0</v>
          </cell>
          <cell r="HE477">
            <v>0</v>
          </cell>
        </row>
        <row r="478">
          <cell r="AV478" t="str">
            <v>1213104</v>
          </cell>
          <cell r="HA478">
            <v>0</v>
          </cell>
          <cell r="HE478">
            <v>0</v>
          </cell>
        </row>
        <row r="479">
          <cell r="AV479" t="str">
            <v>1213104</v>
          </cell>
          <cell r="HA479">
            <v>0</v>
          </cell>
          <cell r="HE479">
            <v>0</v>
          </cell>
        </row>
        <row r="480">
          <cell r="AV480" t="str">
            <v>1213104</v>
          </cell>
          <cell r="HA480">
            <v>0</v>
          </cell>
          <cell r="HE480">
            <v>0</v>
          </cell>
        </row>
        <row r="481">
          <cell r="HA481">
            <v>0</v>
          </cell>
          <cell r="HE481">
            <v>0</v>
          </cell>
        </row>
        <row r="482">
          <cell r="HA482">
            <v>0</v>
          </cell>
          <cell r="HE482">
            <v>0</v>
          </cell>
        </row>
        <row r="483">
          <cell r="HA483">
            <v>0</v>
          </cell>
          <cell r="HE483">
            <v>0</v>
          </cell>
        </row>
        <row r="484">
          <cell r="HA484">
            <v>0</v>
          </cell>
          <cell r="HE484">
            <v>0</v>
          </cell>
        </row>
        <row r="485">
          <cell r="AV485" t="str">
            <v>1213105</v>
          </cell>
          <cell r="HA485">
            <v>0</v>
          </cell>
          <cell r="HE485">
            <v>0</v>
          </cell>
        </row>
        <row r="486">
          <cell r="AV486" t="str">
            <v>1213105</v>
          </cell>
          <cell r="HA486">
            <v>0</v>
          </cell>
          <cell r="HE486">
            <v>0</v>
          </cell>
        </row>
        <row r="487">
          <cell r="AV487" t="str">
            <v>1213105</v>
          </cell>
          <cell r="HA487">
            <v>0</v>
          </cell>
          <cell r="HE487">
            <v>0</v>
          </cell>
        </row>
        <row r="488">
          <cell r="AV488" t="str">
            <v>1213105</v>
          </cell>
          <cell r="HA488">
            <v>0</v>
          </cell>
          <cell r="HE488">
            <v>0</v>
          </cell>
        </row>
        <row r="489">
          <cell r="AV489" t="str">
            <v>1213105</v>
          </cell>
          <cell r="HA489">
            <v>0</v>
          </cell>
          <cell r="HE489">
            <v>0</v>
          </cell>
        </row>
        <row r="490">
          <cell r="AV490" t="str">
            <v>1213105</v>
          </cell>
          <cell r="HA490">
            <v>0</v>
          </cell>
          <cell r="HE490">
            <v>0</v>
          </cell>
        </row>
        <row r="491">
          <cell r="HA491">
            <v>0</v>
          </cell>
          <cell r="HE491">
            <v>0</v>
          </cell>
        </row>
        <row r="492">
          <cell r="HA492">
            <v>0</v>
          </cell>
          <cell r="HE492">
            <v>0</v>
          </cell>
        </row>
        <row r="493">
          <cell r="HA493">
            <v>0</v>
          </cell>
          <cell r="HE493">
            <v>0</v>
          </cell>
        </row>
        <row r="494">
          <cell r="HA494">
            <v>0</v>
          </cell>
          <cell r="HE494">
            <v>0</v>
          </cell>
        </row>
        <row r="495">
          <cell r="AV495" t="str">
            <v>1213206</v>
          </cell>
          <cell r="HA495">
            <v>973</v>
          </cell>
          <cell r="HE495">
            <v>0</v>
          </cell>
        </row>
        <row r="496">
          <cell r="AV496" t="str">
            <v>1213206</v>
          </cell>
          <cell r="HA496">
            <v>13</v>
          </cell>
          <cell r="HE496">
            <v>0</v>
          </cell>
        </row>
        <row r="497">
          <cell r="AV497" t="str">
            <v>1213206</v>
          </cell>
          <cell r="HA497">
            <v>0</v>
          </cell>
          <cell r="HE497">
            <v>0</v>
          </cell>
        </row>
        <row r="498">
          <cell r="AV498" t="str">
            <v>1213206</v>
          </cell>
          <cell r="HA498">
            <v>1</v>
          </cell>
          <cell r="HE498">
            <v>0</v>
          </cell>
        </row>
        <row r="499">
          <cell r="AV499" t="str">
            <v>1213206</v>
          </cell>
          <cell r="HA499">
            <v>5</v>
          </cell>
          <cell r="HE499">
            <v>0</v>
          </cell>
        </row>
        <row r="500">
          <cell r="AV500" t="str">
            <v>1213206</v>
          </cell>
          <cell r="HA500">
            <v>7</v>
          </cell>
          <cell r="HE500">
            <v>0</v>
          </cell>
        </row>
        <row r="501">
          <cell r="HA501">
            <v>-986</v>
          </cell>
          <cell r="HE501">
            <v>0</v>
          </cell>
        </row>
        <row r="502">
          <cell r="HA502">
            <v>13</v>
          </cell>
          <cell r="HE502">
            <v>0</v>
          </cell>
        </row>
        <row r="503">
          <cell r="HA503">
            <v>1109</v>
          </cell>
          <cell r="HE503">
            <v>0</v>
          </cell>
        </row>
        <row r="504">
          <cell r="HA504">
            <v>1.1722272317403066E-2</v>
          </cell>
          <cell r="HE504">
            <v>0</v>
          </cell>
        </row>
        <row r="505">
          <cell r="AV505" t="str">
            <v>1213207</v>
          </cell>
          <cell r="HE505">
            <v>148</v>
          </cell>
        </row>
        <row r="506">
          <cell r="AV506" t="str">
            <v>1213207</v>
          </cell>
          <cell r="HE506">
            <v>180</v>
          </cell>
        </row>
        <row r="507">
          <cell r="AV507" t="str">
            <v>1213207</v>
          </cell>
          <cell r="HE507">
            <v>1</v>
          </cell>
        </row>
        <row r="508">
          <cell r="AV508" t="str">
            <v>1213207</v>
          </cell>
          <cell r="HE508">
            <v>-5</v>
          </cell>
        </row>
        <row r="509">
          <cell r="AV509" t="str">
            <v>1213207</v>
          </cell>
          <cell r="HE509">
            <v>26</v>
          </cell>
        </row>
        <row r="510">
          <cell r="AV510" t="str">
            <v>1213207</v>
          </cell>
          <cell r="HE510">
            <v>7</v>
          </cell>
        </row>
        <row r="511">
          <cell r="HE511">
            <v>-328</v>
          </cell>
        </row>
        <row r="512">
          <cell r="HE512">
            <v>29</v>
          </cell>
        </row>
        <row r="513">
          <cell r="HE513">
            <v>1457</v>
          </cell>
        </row>
        <row r="514">
          <cell r="HE514">
            <v>1.9903912148249828E-2</v>
          </cell>
        </row>
        <row r="515">
          <cell r="AV515" t="str">
            <v>1213201</v>
          </cell>
          <cell r="HA515">
            <v>111</v>
          </cell>
          <cell r="HE515">
            <v>1199</v>
          </cell>
        </row>
        <row r="516">
          <cell r="AV516" t="str">
            <v>1213201</v>
          </cell>
          <cell r="HA516">
            <v>5</v>
          </cell>
          <cell r="HE516">
            <v>2483</v>
          </cell>
        </row>
        <row r="517">
          <cell r="AV517" t="str">
            <v>1213201</v>
          </cell>
          <cell r="HA517">
            <v>5</v>
          </cell>
          <cell r="HE517">
            <v>24</v>
          </cell>
        </row>
        <row r="518">
          <cell r="AV518" t="str">
            <v>1213201</v>
          </cell>
          <cell r="HA518">
            <v>0</v>
          </cell>
          <cell r="HE518">
            <v>-77</v>
          </cell>
        </row>
        <row r="519">
          <cell r="AV519" t="str">
            <v>1213201</v>
          </cell>
          <cell r="HA519">
            <v>2</v>
          </cell>
          <cell r="HE519">
            <v>386</v>
          </cell>
        </row>
        <row r="520">
          <cell r="AV520" t="str">
            <v>1213201</v>
          </cell>
          <cell r="HA520">
            <v>0</v>
          </cell>
          <cell r="HE520">
            <v>49</v>
          </cell>
        </row>
        <row r="521">
          <cell r="HA521">
            <v>-116</v>
          </cell>
          <cell r="HE521">
            <v>-3682</v>
          </cell>
        </row>
        <row r="522">
          <cell r="HA522">
            <v>7</v>
          </cell>
          <cell r="HE522">
            <v>382</v>
          </cell>
        </row>
        <row r="523">
          <cell r="HA523">
            <v>173</v>
          </cell>
          <cell r="HE523">
            <v>22588</v>
          </cell>
        </row>
        <row r="524">
          <cell r="HA524">
            <v>4.046242774566474E-2</v>
          </cell>
          <cell r="HE524">
            <v>1.6911634496192669E-2</v>
          </cell>
        </row>
        <row r="525">
          <cell r="AV525" t="str">
            <v>1213202</v>
          </cell>
          <cell r="HA525">
            <v>1935</v>
          </cell>
          <cell r="HE525">
            <v>2328</v>
          </cell>
        </row>
        <row r="526">
          <cell r="AV526" t="str">
            <v>1213202</v>
          </cell>
          <cell r="HA526">
            <v>4134</v>
          </cell>
          <cell r="HE526">
            <v>4772</v>
          </cell>
        </row>
        <row r="527">
          <cell r="AV527" t="str">
            <v>1213202</v>
          </cell>
          <cell r="HA527">
            <v>115</v>
          </cell>
          <cell r="HE527">
            <v>68</v>
          </cell>
        </row>
        <row r="528">
          <cell r="AV528" t="str">
            <v>1213202</v>
          </cell>
          <cell r="HA528">
            <v>-254</v>
          </cell>
          <cell r="HE528">
            <v>-240</v>
          </cell>
        </row>
        <row r="529">
          <cell r="AV529" t="str">
            <v>1213202</v>
          </cell>
          <cell r="HA529">
            <v>820</v>
          </cell>
          <cell r="HE529">
            <v>849</v>
          </cell>
        </row>
        <row r="530">
          <cell r="AV530" t="str">
            <v>1213202</v>
          </cell>
          <cell r="HA530">
            <v>66</v>
          </cell>
          <cell r="HE530">
            <v>91</v>
          </cell>
        </row>
        <row r="531">
          <cell r="HA531">
            <v>-6069</v>
          </cell>
          <cell r="HE531">
            <v>-7100</v>
          </cell>
        </row>
        <row r="532">
          <cell r="HA532">
            <v>747</v>
          </cell>
          <cell r="HE532">
            <v>768</v>
          </cell>
        </row>
        <row r="533">
          <cell r="HA533">
            <v>47764</v>
          </cell>
          <cell r="HE533">
            <v>51716</v>
          </cell>
        </row>
        <row r="534">
          <cell r="HA534">
            <v>1.5639393685620971E-2</v>
          </cell>
          <cell r="HE534">
            <v>1.4850336452935263E-2</v>
          </cell>
        </row>
        <row r="535">
          <cell r="AV535" t="str">
            <v>1213204</v>
          </cell>
          <cell r="HA535">
            <v>0</v>
          </cell>
          <cell r="HE535">
            <v>0</v>
          </cell>
        </row>
        <row r="536">
          <cell r="AV536" t="str">
            <v>1213204</v>
          </cell>
          <cell r="HA536">
            <v>0</v>
          </cell>
          <cell r="HE536">
            <v>0</v>
          </cell>
        </row>
        <row r="537">
          <cell r="AV537" t="str">
            <v>1213204</v>
          </cell>
          <cell r="HA537">
            <v>0</v>
          </cell>
          <cell r="HE537">
            <v>0</v>
          </cell>
        </row>
        <row r="538">
          <cell r="AV538" t="str">
            <v>1213204</v>
          </cell>
          <cell r="HA538">
            <v>0</v>
          </cell>
          <cell r="HE538">
            <v>0</v>
          </cell>
        </row>
        <row r="539">
          <cell r="AV539" t="str">
            <v>1213204</v>
          </cell>
          <cell r="HA539">
            <v>0</v>
          </cell>
          <cell r="HE539">
            <v>0</v>
          </cell>
        </row>
        <row r="540">
          <cell r="HA540">
            <v>0</v>
          </cell>
          <cell r="HE540">
            <v>0</v>
          </cell>
        </row>
        <row r="541">
          <cell r="HA541">
            <v>0</v>
          </cell>
          <cell r="HE541">
            <v>0</v>
          </cell>
        </row>
        <row r="542">
          <cell r="HA542">
            <v>0</v>
          </cell>
          <cell r="HE542">
            <v>0</v>
          </cell>
        </row>
        <row r="543">
          <cell r="HA543">
            <v>0</v>
          </cell>
          <cell r="HE543">
            <v>0</v>
          </cell>
        </row>
        <row r="544">
          <cell r="AV544">
            <v>1503101</v>
          </cell>
          <cell r="HA544">
            <v>0</v>
          </cell>
          <cell r="HE544">
            <v>0</v>
          </cell>
        </row>
        <row r="545">
          <cell r="AV545" t="str">
            <v>1503101</v>
          </cell>
          <cell r="HA545">
            <v>0</v>
          </cell>
          <cell r="HE545">
            <v>0</v>
          </cell>
        </row>
        <row r="546">
          <cell r="AV546" t="str">
            <v>1503101</v>
          </cell>
          <cell r="HA546">
            <v>0</v>
          </cell>
          <cell r="HE546">
            <v>0</v>
          </cell>
        </row>
        <row r="547">
          <cell r="AV547" t="str">
            <v>1503101</v>
          </cell>
          <cell r="HA547">
            <v>0</v>
          </cell>
          <cell r="HE547">
            <v>0</v>
          </cell>
        </row>
        <row r="548">
          <cell r="AV548" t="str">
            <v>1503101</v>
          </cell>
          <cell r="HA548">
            <v>0</v>
          </cell>
          <cell r="HE548">
            <v>0</v>
          </cell>
        </row>
        <row r="549">
          <cell r="AV549" t="str">
            <v>1503101</v>
          </cell>
          <cell r="HA549">
            <v>0</v>
          </cell>
          <cell r="HE549">
            <v>0</v>
          </cell>
        </row>
        <row r="550">
          <cell r="HA550">
            <v>0</v>
          </cell>
          <cell r="HE550">
            <v>0</v>
          </cell>
        </row>
        <row r="551">
          <cell r="HA551">
            <v>0</v>
          </cell>
          <cell r="HE551">
            <v>0</v>
          </cell>
        </row>
        <row r="552">
          <cell r="HA552">
            <v>0</v>
          </cell>
          <cell r="HE552">
            <v>0</v>
          </cell>
        </row>
        <row r="553">
          <cell r="HA553">
            <v>0</v>
          </cell>
          <cell r="HE553">
            <v>0</v>
          </cell>
        </row>
        <row r="554">
          <cell r="HA554">
            <v>835</v>
          </cell>
          <cell r="HE554">
            <v>1179</v>
          </cell>
        </row>
        <row r="555">
          <cell r="HA555">
            <v>3896</v>
          </cell>
          <cell r="HE555">
            <v>3675</v>
          </cell>
        </row>
        <row r="556">
          <cell r="HA556">
            <v>5853</v>
          </cell>
          <cell r="HE556">
            <v>7435</v>
          </cell>
        </row>
        <row r="557">
          <cell r="HA557">
            <v>9749</v>
          </cell>
          <cell r="HE557">
            <v>11110</v>
          </cell>
        </row>
        <row r="558">
          <cell r="HA558">
            <v>-8914</v>
          </cell>
          <cell r="HE558">
            <v>-9931</v>
          </cell>
        </row>
        <row r="559">
          <cell r="HA559">
            <v>66560</v>
          </cell>
          <cell r="HE559">
            <v>75761</v>
          </cell>
        </row>
        <row r="560">
          <cell r="AV560">
            <v>3402105</v>
          </cell>
          <cell r="HA560">
            <v>0</v>
          </cell>
          <cell r="HE560">
            <v>940</v>
          </cell>
        </row>
        <row r="561">
          <cell r="AV561" t="str">
            <v>3402105</v>
          </cell>
          <cell r="HA561">
            <v>0</v>
          </cell>
          <cell r="HE561">
            <v>0</v>
          </cell>
        </row>
        <row r="562">
          <cell r="AV562" t="str">
            <v>3402105</v>
          </cell>
          <cell r="HA562">
            <v>0</v>
          </cell>
          <cell r="HE562">
            <v>0</v>
          </cell>
        </row>
        <row r="563">
          <cell r="AV563" t="str">
            <v>3402105</v>
          </cell>
          <cell r="HA563">
            <v>0</v>
          </cell>
          <cell r="HE563">
            <v>0</v>
          </cell>
        </row>
        <row r="564">
          <cell r="AV564" t="str">
            <v>3402105</v>
          </cell>
          <cell r="HA564">
            <v>0</v>
          </cell>
          <cell r="HE564">
            <v>0</v>
          </cell>
        </row>
        <row r="565">
          <cell r="AV565" t="str">
            <v>3402105</v>
          </cell>
          <cell r="HA565">
            <v>0</v>
          </cell>
          <cell r="HE565">
            <v>0</v>
          </cell>
        </row>
        <row r="566">
          <cell r="HA566">
            <v>0</v>
          </cell>
          <cell r="HE566">
            <v>940</v>
          </cell>
        </row>
        <row r="567">
          <cell r="HA567">
            <v>0</v>
          </cell>
          <cell r="HE567">
            <v>89865</v>
          </cell>
        </row>
        <row r="568">
          <cell r="HA568">
            <v>0</v>
          </cell>
          <cell r="HE568">
            <v>1.0460134646414066E-2</v>
          </cell>
        </row>
        <row r="569">
          <cell r="AV569" t="str">
            <v>3402104</v>
          </cell>
          <cell r="HA569">
            <v>0</v>
          </cell>
          <cell r="HE569">
            <v>0</v>
          </cell>
        </row>
        <row r="570">
          <cell r="AV570" t="str">
            <v>3402104</v>
          </cell>
        </row>
        <row r="571">
          <cell r="HA571">
            <v>0</v>
          </cell>
          <cell r="HE571">
            <v>0</v>
          </cell>
        </row>
        <row r="572">
          <cell r="HA572">
            <v>0</v>
          </cell>
          <cell r="HE572">
            <v>0</v>
          </cell>
        </row>
        <row r="573">
          <cell r="AV573">
            <v>3402108</v>
          </cell>
          <cell r="HA573">
            <v>0</v>
          </cell>
          <cell r="HE573">
            <v>0</v>
          </cell>
        </row>
        <row r="574">
          <cell r="HA574">
            <v>0</v>
          </cell>
          <cell r="HE574">
            <v>0</v>
          </cell>
        </row>
        <row r="575">
          <cell r="HA575">
            <v>0</v>
          </cell>
          <cell r="HE575">
            <v>0</v>
          </cell>
        </row>
        <row r="576">
          <cell r="AV576" t="str">
            <v>3413101</v>
          </cell>
          <cell r="HA576">
            <v>49</v>
          </cell>
          <cell r="HE576">
            <v>0</v>
          </cell>
        </row>
        <row r="577">
          <cell r="HA577">
            <v>4994</v>
          </cell>
          <cell r="HE577">
            <v>0</v>
          </cell>
        </row>
        <row r="578">
          <cell r="HA578">
            <v>0</v>
          </cell>
          <cell r="HE578">
            <v>0</v>
          </cell>
        </row>
        <row r="579">
          <cell r="AV579" t="str">
            <v>3413151</v>
          </cell>
          <cell r="HA579">
            <v>0</v>
          </cell>
          <cell r="HE579">
            <v>0</v>
          </cell>
        </row>
        <row r="580">
          <cell r="HA580">
            <v>0</v>
          </cell>
          <cell r="HE580">
            <v>0</v>
          </cell>
        </row>
        <row r="581">
          <cell r="HA581">
            <v>0</v>
          </cell>
          <cell r="HE581">
            <v>0</v>
          </cell>
        </row>
        <row r="582">
          <cell r="AV582" t="str">
            <v>3413361</v>
          </cell>
          <cell r="HA582">
            <v>0</v>
          </cell>
          <cell r="HE582">
            <v>0</v>
          </cell>
        </row>
        <row r="583">
          <cell r="HA583">
            <v>0</v>
          </cell>
          <cell r="HE583">
            <v>0</v>
          </cell>
        </row>
        <row r="584">
          <cell r="HA584">
            <v>0</v>
          </cell>
          <cell r="HE584">
            <v>0</v>
          </cell>
        </row>
        <row r="585">
          <cell r="AV585">
            <v>1313103</v>
          </cell>
          <cell r="HA585">
            <v>0</v>
          </cell>
          <cell r="HE585">
            <v>0</v>
          </cell>
        </row>
        <row r="586">
          <cell r="AV586" t="str">
            <v>1313103</v>
          </cell>
          <cell r="HA586">
            <v>0</v>
          </cell>
          <cell r="HE586">
            <v>0</v>
          </cell>
        </row>
        <row r="587">
          <cell r="HA587">
            <v>0</v>
          </cell>
          <cell r="HE587">
            <v>0</v>
          </cell>
        </row>
        <row r="588">
          <cell r="HA588">
            <v>0</v>
          </cell>
          <cell r="HE588">
            <v>0</v>
          </cell>
        </row>
        <row r="589">
          <cell r="AV589">
            <v>1313104</v>
          </cell>
          <cell r="HE589">
            <v>0</v>
          </cell>
        </row>
        <row r="590">
          <cell r="AV590">
            <v>1313104</v>
          </cell>
          <cell r="HE590">
            <v>201</v>
          </cell>
        </row>
        <row r="591">
          <cell r="HE591">
            <v>10201</v>
          </cell>
        </row>
        <row r="592">
          <cell r="HE592">
            <v>0</v>
          </cell>
        </row>
        <row r="593">
          <cell r="AV593" t="str">
            <v>1103068</v>
          </cell>
          <cell r="HA593">
            <v>0</v>
          </cell>
          <cell r="HE593">
            <v>0</v>
          </cell>
        </row>
        <row r="594">
          <cell r="HA594">
            <v>0</v>
          </cell>
          <cell r="HE594">
            <v>0</v>
          </cell>
        </row>
        <row r="595">
          <cell r="HA595">
            <v>0</v>
          </cell>
          <cell r="HE595">
            <v>0</v>
          </cell>
        </row>
        <row r="596">
          <cell r="AV596" t="str">
            <v>1303011</v>
          </cell>
          <cell r="HA596">
            <v>0</v>
          </cell>
          <cell r="HE596">
            <v>0</v>
          </cell>
        </row>
        <row r="597">
          <cell r="HA597">
            <v>0</v>
          </cell>
          <cell r="HE597">
            <v>0</v>
          </cell>
        </row>
        <row r="598">
          <cell r="HA598">
            <v>0</v>
          </cell>
          <cell r="HE598">
            <v>0</v>
          </cell>
        </row>
        <row r="599">
          <cell r="AV599" t="str">
            <v>1303015</v>
          </cell>
          <cell r="HA599">
            <v>0</v>
          </cell>
          <cell r="HE599">
            <v>0</v>
          </cell>
        </row>
        <row r="600">
          <cell r="HA600">
            <v>0</v>
          </cell>
          <cell r="HE600">
            <v>0</v>
          </cell>
        </row>
        <row r="601">
          <cell r="HA601">
            <v>0</v>
          </cell>
          <cell r="HE601">
            <v>0</v>
          </cell>
        </row>
        <row r="602">
          <cell r="AV602" t="str">
            <v>1303021</v>
          </cell>
          <cell r="HA602">
            <v>0</v>
          </cell>
          <cell r="HE602">
            <v>0</v>
          </cell>
        </row>
        <row r="603">
          <cell r="HA603">
            <v>0</v>
          </cell>
          <cell r="HE603">
            <v>0</v>
          </cell>
        </row>
        <row r="604">
          <cell r="HA604">
            <v>0</v>
          </cell>
          <cell r="HE604">
            <v>0</v>
          </cell>
        </row>
        <row r="605">
          <cell r="AV605">
            <v>1105017</v>
          </cell>
          <cell r="HA605">
            <v>0</v>
          </cell>
          <cell r="HE605">
            <v>0</v>
          </cell>
        </row>
        <row r="606">
          <cell r="HA606">
            <v>0</v>
          </cell>
          <cell r="HE606">
            <v>0</v>
          </cell>
        </row>
        <row r="607">
          <cell r="HA607">
            <v>0</v>
          </cell>
          <cell r="HE607">
            <v>0</v>
          </cell>
        </row>
        <row r="608">
          <cell r="AV608" t="str">
            <v>1303034</v>
          </cell>
          <cell r="HA608">
            <v>0</v>
          </cell>
          <cell r="HE608">
            <v>0</v>
          </cell>
        </row>
        <row r="609">
          <cell r="HA609">
            <v>0</v>
          </cell>
          <cell r="HE609">
            <v>0</v>
          </cell>
        </row>
        <row r="610">
          <cell r="HA610">
            <v>0</v>
          </cell>
          <cell r="HE610">
            <v>0</v>
          </cell>
        </row>
        <row r="611">
          <cell r="AV611" t="str">
            <v>1303036</v>
          </cell>
          <cell r="HA611">
            <v>0</v>
          </cell>
          <cell r="HE611">
            <v>0</v>
          </cell>
        </row>
        <row r="612">
          <cell r="HA612">
            <v>0</v>
          </cell>
          <cell r="HE612">
            <v>0</v>
          </cell>
        </row>
        <row r="613">
          <cell r="HA613">
            <v>0</v>
          </cell>
          <cell r="HE613">
            <v>0</v>
          </cell>
        </row>
        <row r="614">
          <cell r="AV614" t="str">
            <v>1303037</v>
          </cell>
          <cell r="HA614">
            <v>0</v>
          </cell>
          <cell r="HE614">
            <v>0</v>
          </cell>
        </row>
        <row r="615">
          <cell r="HA615">
            <v>0</v>
          </cell>
          <cell r="HE615">
            <v>0</v>
          </cell>
        </row>
        <row r="616">
          <cell r="HA616">
            <v>0</v>
          </cell>
          <cell r="HE616">
            <v>0</v>
          </cell>
        </row>
        <row r="617">
          <cell r="AV617" t="str">
            <v>1304001</v>
          </cell>
          <cell r="HA617">
            <v>0</v>
          </cell>
          <cell r="HE617">
            <v>0</v>
          </cell>
        </row>
        <row r="618">
          <cell r="HA618">
            <v>0</v>
          </cell>
          <cell r="HE618">
            <v>0</v>
          </cell>
        </row>
        <row r="619">
          <cell r="HA619">
            <v>0</v>
          </cell>
          <cell r="HE619">
            <v>0</v>
          </cell>
        </row>
        <row r="620">
          <cell r="AV620" t="str">
            <v>1304002</v>
          </cell>
          <cell r="HA620">
            <v>0</v>
          </cell>
          <cell r="HE620">
            <v>0</v>
          </cell>
        </row>
        <row r="621">
          <cell r="HA621">
            <v>0</v>
          </cell>
          <cell r="HE621">
            <v>0</v>
          </cell>
        </row>
        <row r="622">
          <cell r="HA622">
            <v>0</v>
          </cell>
          <cell r="HE622">
            <v>0</v>
          </cell>
        </row>
        <row r="623">
          <cell r="AV623" t="str">
            <v>1304004</v>
          </cell>
          <cell r="HA623">
            <v>0</v>
          </cell>
          <cell r="HE623">
            <v>0</v>
          </cell>
        </row>
        <row r="624">
          <cell r="HA624">
            <v>0</v>
          </cell>
          <cell r="HE624">
            <v>0</v>
          </cell>
        </row>
        <row r="625">
          <cell r="HA625">
            <v>0</v>
          </cell>
          <cell r="HE625">
            <v>0</v>
          </cell>
        </row>
        <row r="626">
          <cell r="AV626" t="str">
            <v>1305002</v>
          </cell>
          <cell r="HA626">
            <v>0</v>
          </cell>
          <cell r="HE626">
            <v>0</v>
          </cell>
        </row>
        <row r="627">
          <cell r="HA627">
            <v>0</v>
          </cell>
          <cell r="HE627">
            <v>0</v>
          </cell>
        </row>
        <row r="628">
          <cell r="HA628">
            <v>0</v>
          </cell>
          <cell r="HE628">
            <v>0</v>
          </cell>
        </row>
        <row r="629">
          <cell r="AV629" t="str">
            <v>1306000</v>
          </cell>
          <cell r="HA629">
            <v>0</v>
          </cell>
          <cell r="HE629">
            <v>0</v>
          </cell>
        </row>
        <row r="630">
          <cell r="HA630">
            <v>0</v>
          </cell>
          <cell r="HE630">
            <v>0</v>
          </cell>
        </row>
        <row r="631">
          <cell r="HA631">
            <v>0</v>
          </cell>
          <cell r="HE631">
            <v>0</v>
          </cell>
        </row>
        <row r="632">
          <cell r="AV632" t="str">
            <v>1106010</v>
          </cell>
          <cell r="HA632">
            <v>0</v>
          </cell>
          <cell r="HE632">
            <v>0</v>
          </cell>
        </row>
        <row r="633">
          <cell r="HA633">
            <v>0</v>
          </cell>
          <cell r="HE633">
            <v>0</v>
          </cell>
        </row>
        <row r="634">
          <cell r="HA634">
            <v>0</v>
          </cell>
          <cell r="HE634">
            <v>0</v>
          </cell>
        </row>
        <row r="635">
          <cell r="AV635" t="str">
            <v>1306005</v>
          </cell>
          <cell r="HA635">
            <v>0</v>
          </cell>
          <cell r="HE635">
            <v>0</v>
          </cell>
        </row>
        <row r="636">
          <cell r="HA636">
            <v>0</v>
          </cell>
          <cell r="HE636">
            <v>0</v>
          </cell>
        </row>
        <row r="637">
          <cell r="HA637">
            <v>0</v>
          </cell>
          <cell r="HE637">
            <v>0</v>
          </cell>
        </row>
        <row r="638">
          <cell r="AV638" t="str">
            <v>1306009</v>
          </cell>
          <cell r="HA638">
            <v>0</v>
          </cell>
          <cell r="HE638">
            <v>0</v>
          </cell>
        </row>
        <row r="639">
          <cell r="HA639">
            <v>0</v>
          </cell>
          <cell r="HE639">
            <v>0</v>
          </cell>
        </row>
        <row r="640">
          <cell r="HA640">
            <v>0</v>
          </cell>
          <cell r="HE640">
            <v>0</v>
          </cell>
        </row>
        <row r="641">
          <cell r="AV641">
            <v>1307051</v>
          </cell>
        </row>
        <row r="642">
          <cell r="AV642">
            <v>1307051</v>
          </cell>
        </row>
        <row r="645">
          <cell r="AV645">
            <v>1307054</v>
          </cell>
          <cell r="HA645">
            <v>0</v>
          </cell>
          <cell r="HE645">
            <v>0</v>
          </cell>
        </row>
        <row r="646">
          <cell r="AV646" t="str">
            <v>1307054</v>
          </cell>
          <cell r="HA646">
            <v>0</v>
          </cell>
          <cell r="HE646">
            <v>0</v>
          </cell>
        </row>
        <row r="647">
          <cell r="HA647">
            <v>0</v>
          </cell>
          <cell r="HE647">
            <v>0</v>
          </cell>
        </row>
        <row r="648">
          <cell r="HA648">
            <v>0</v>
          </cell>
          <cell r="HE648">
            <v>0</v>
          </cell>
        </row>
        <row r="649">
          <cell r="AV649" t="str">
            <v>1307057</v>
          </cell>
          <cell r="HA649">
            <v>0</v>
          </cell>
          <cell r="HE649">
            <v>0</v>
          </cell>
        </row>
        <row r="650">
          <cell r="AV650" t="str">
            <v>1307057</v>
          </cell>
          <cell r="HA650">
            <v>48</v>
          </cell>
          <cell r="HE650">
            <v>49</v>
          </cell>
        </row>
        <row r="651">
          <cell r="HA651">
            <v>4823</v>
          </cell>
          <cell r="HE651">
            <v>4974</v>
          </cell>
        </row>
        <row r="652">
          <cell r="HA652">
            <v>0</v>
          </cell>
          <cell r="HE652">
            <v>0</v>
          </cell>
        </row>
        <row r="653">
          <cell r="AV653" t="str">
            <v>1307083</v>
          </cell>
        </row>
        <row r="654">
          <cell r="AV654" t="str">
            <v>1307083</v>
          </cell>
        </row>
        <row r="657">
          <cell r="AV657" t="str">
            <v>1307080</v>
          </cell>
        </row>
        <row r="658">
          <cell r="AV658" t="str">
            <v>1307080</v>
          </cell>
        </row>
        <row r="661">
          <cell r="AV661" t="str">
            <v>1307059</v>
          </cell>
          <cell r="HA661">
            <v>0</v>
          </cell>
          <cell r="HE661">
            <v>0</v>
          </cell>
        </row>
        <row r="662">
          <cell r="HA662">
            <v>0</v>
          </cell>
          <cell r="HE662">
            <v>0</v>
          </cell>
        </row>
        <row r="663">
          <cell r="HA663">
            <v>0</v>
          </cell>
          <cell r="HE663">
            <v>0</v>
          </cell>
        </row>
        <row r="664">
          <cell r="AV664">
            <v>1307065</v>
          </cell>
          <cell r="HA664">
            <v>0</v>
          </cell>
          <cell r="HE664">
            <v>0</v>
          </cell>
        </row>
        <row r="665">
          <cell r="AV665">
            <v>1307065</v>
          </cell>
          <cell r="HA665">
            <v>0</v>
          </cell>
          <cell r="HE665">
            <v>0</v>
          </cell>
        </row>
        <row r="666">
          <cell r="HA666">
            <v>0</v>
          </cell>
          <cell r="HE666">
            <v>0</v>
          </cell>
        </row>
        <row r="667">
          <cell r="HA667">
            <v>0</v>
          </cell>
          <cell r="HE667">
            <v>0</v>
          </cell>
        </row>
        <row r="668">
          <cell r="AV668" t="str">
            <v>1307075</v>
          </cell>
          <cell r="HA668">
            <v>0</v>
          </cell>
          <cell r="HE668">
            <v>0</v>
          </cell>
        </row>
        <row r="669">
          <cell r="AV669" t="str">
            <v>1307075</v>
          </cell>
          <cell r="HA669">
            <v>0</v>
          </cell>
          <cell r="HE669">
            <v>50</v>
          </cell>
        </row>
        <row r="670">
          <cell r="HA670">
            <v>0</v>
          </cell>
          <cell r="HE670">
            <v>5050</v>
          </cell>
        </row>
        <row r="671">
          <cell r="HA671">
            <v>0</v>
          </cell>
          <cell r="HE671">
            <v>0</v>
          </cell>
        </row>
        <row r="672">
          <cell r="AV672" t="str">
            <v>1307077</v>
          </cell>
          <cell r="HA672">
            <v>0</v>
          </cell>
          <cell r="HE672">
            <v>0</v>
          </cell>
        </row>
        <row r="673">
          <cell r="AV673" t="str">
            <v>1307077</v>
          </cell>
          <cell r="HA673">
            <v>49</v>
          </cell>
          <cell r="HE673">
            <v>0</v>
          </cell>
        </row>
        <row r="674">
          <cell r="HA674">
            <v>4988</v>
          </cell>
          <cell r="HE674">
            <v>0</v>
          </cell>
        </row>
        <row r="675">
          <cell r="HA675">
            <v>0</v>
          </cell>
          <cell r="HE675">
            <v>0</v>
          </cell>
        </row>
        <row r="676">
          <cell r="AV676" t="str">
            <v>1307078</v>
          </cell>
        </row>
        <row r="677">
          <cell r="AV677" t="str">
            <v>1307078</v>
          </cell>
        </row>
        <row r="680">
          <cell r="AV680" t="str">
            <v>1307079</v>
          </cell>
          <cell r="HA680">
            <v>0</v>
          </cell>
          <cell r="HE680">
            <v>0</v>
          </cell>
        </row>
        <row r="681">
          <cell r="AV681" t="str">
            <v>1307079</v>
          </cell>
          <cell r="HA681">
            <v>0</v>
          </cell>
          <cell r="HE681">
            <v>0</v>
          </cell>
        </row>
        <row r="682">
          <cell r="HA682">
            <v>0</v>
          </cell>
          <cell r="HE682">
            <v>0</v>
          </cell>
        </row>
        <row r="683">
          <cell r="HA683">
            <v>0</v>
          </cell>
          <cell r="HE683">
            <v>0</v>
          </cell>
        </row>
        <row r="684">
          <cell r="AV684" t="str">
            <v>1307081</v>
          </cell>
          <cell r="HA684">
            <v>0</v>
          </cell>
          <cell r="HE684">
            <v>0</v>
          </cell>
        </row>
        <row r="685">
          <cell r="AV685" t="str">
            <v>1307081</v>
          </cell>
          <cell r="HA685">
            <v>39</v>
          </cell>
          <cell r="HE685">
            <v>0</v>
          </cell>
        </row>
        <row r="686">
          <cell r="HA686">
            <v>1989</v>
          </cell>
          <cell r="HE686">
            <v>0</v>
          </cell>
        </row>
        <row r="687">
          <cell r="HA687">
            <v>0</v>
          </cell>
          <cell r="HE687">
            <v>0</v>
          </cell>
        </row>
        <row r="688">
          <cell r="AV688">
            <v>1307087</v>
          </cell>
          <cell r="HA688">
            <v>0</v>
          </cell>
          <cell r="HE688">
            <v>0</v>
          </cell>
        </row>
        <row r="689">
          <cell r="AV689">
            <v>1307087</v>
          </cell>
        </row>
        <row r="690">
          <cell r="HA690">
            <v>0</v>
          </cell>
          <cell r="HE690">
            <v>0</v>
          </cell>
        </row>
        <row r="691">
          <cell r="HA691">
            <v>0</v>
          </cell>
          <cell r="HE691">
            <v>0</v>
          </cell>
        </row>
        <row r="692">
          <cell r="AV692" t="str">
            <v>1307089</v>
          </cell>
          <cell r="HA692">
            <v>0</v>
          </cell>
          <cell r="HE692">
            <v>0</v>
          </cell>
        </row>
        <row r="693">
          <cell r="AV693" t="str">
            <v>1307089</v>
          </cell>
          <cell r="HA693">
            <v>0</v>
          </cell>
          <cell r="HE693">
            <v>0</v>
          </cell>
        </row>
        <row r="694">
          <cell r="HA694">
            <v>0</v>
          </cell>
          <cell r="HE694">
            <v>0</v>
          </cell>
        </row>
        <row r="695">
          <cell r="HA695">
            <v>0</v>
          </cell>
          <cell r="HE695">
            <v>0</v>
          </cell>
        </row>
        <row r="696">
          <cell r="AV696" t="str">
            <v>1307063</v>
          </cell>
        </row>
        <row r="697">
          <cell r="AV697" t="str">
            <v>1307063</v>
          </cell>
        </row>
        <row r="700">
          <cell r="AV700" t="str">
            <v>1307088</v>
          </cell>
          <cell r="HE700">
            <v>0</v>
          </cell>
        </row>
        <row r="701">
          <cell r="AV701" t="str">
            <v>1307088</v>
          </cell>
          <cell r="HE701">
            <v>4</v>
          </cell>
        </row>
        <row r="702">
          <cell r="HE702">
            <v>190</v>
          </cell>
        </row>
        <row r="703">
          <cell r="HE703">
            <v>0</v>
          </cell>
        </row>
        <row r="704">
          <cell r="AV704" t="str">
            <v>1307033</v>
          </cell>
          <cell r="HA704">
            <v>0</v>
          </cell>
          <cell r="HE704">
            <v>0</v>
          </cell>
        </row>
        <row r="705">
          <cell r="AV705" t="str">
            <v>1307033</v>
          </cell>
        </row>
        <row r="706">
          <cell r="HA706">
            <v>0</v>
          </cell>
          <cell r="HE706">
            <v>0</v>
          </cell>
        </row>
        <row r="707">
          <cell r="HA707">
            <v>0</v>
          </cell>
          <cell r="HE707">
            <v>0</v>
          </cell>
        </row>
        <row r="708">
          <cell r="AV708" t="str">
            <v>1307043</v>
          </cell>
          <cell r="HA708">
            <v>0</v>
          </cell>
          <cell r="HE708">
            <v>0</v>
          </cell>
        </row>
        <row r="709">
          <cell r="HA709">
            <v>0</v>
          </cell>
          <cell r="HE709">
            <v>0</v>
          </cell>
        </row>
        <row r="710">
          <cell r="HA710">
            <v>0</v>
          </cell>
          <cell r="HE710">
            <v>0</v>
          </cell>
        </row>
        <row r="711">
          <cell r="AV711">
            <v>1307044</v>
          </cell>
          <cell r="HA711">
            <v>0</v>
          </cell>
          <cell r="HE711">
            <v>0</v>
          </cell>
        </row>
        <row r="712">
          <cell r="HA712">
            <v>0</v>
          </cell>
          <cell r="HE712">
            <v>0</v>
          </cell>
        </row>
        <row r="713">
          <cell r="HA713">
            <v>0</v>
          </cell>
          <cell r="HE713">
            <v>0</v>
          </cell>
        </row>
        <row r="714">
          <cell r="AV714" t="str">
            <v>1307175</v>
          </cell>
          <cell r="HA714">
            <v>0</v>
          </cell>
          <cell r="HE714">
            <v>0</v>
          </cell>
        </row>
        <row r="715">
          <cell r="HA715">
            <v>0</v>
          </cell>
          <cell r="HE715">
            <v>0</v>
          </cell>
        </row>
        <row r="716">
          <cell r="HA716">
            <v>0</v>
          </cell>
          <cell r="HE716">
            <v>0</v>
          </cell>
        </row>
        <row r="717">
          <cell r="AV717">
            <v>1307185</v>
          </cell>
          <cell r="HA717">
            <v>0</v>
          </cell>
          <cell r="HE717">
            <v>0</v>
          </cell>
        </row>
        <row r="718">
          <cell r="AV718">
            <v>1307185</v>
          </cell>
          <cell r="HA718">
            <v>49</v>
          </cell>
          <cell r="HE718">
            <v>0</v>
          </cell>
        </row>
        <row r="719">
          <cell r="HA719">
            <v>4949</v>
          </cell>
          <cell r="HE719">
            <v>0</v>
          </cell>
        </row>
        <row r="720">
          <cell r="HA720">
            <v>0</v>
          </cell>
          <cell r="HE720">
            <v>0</v>
          </cell>
        </row>
        <row r="721">
          <cell r="AV721" t="str">
            <v>1310001</v>
          </cell>
          <cell r="HA721">
            <v>0</v>
          </cell>
          <cell r="HE721">
            <v>0</v>
          </cell>
        </row>
        <row r="722">
          <cell r="AV722" t="str">
            <v>1310001</v>
          </cell>
          <cell r="HA722">
            <v>0</v>
          </cell>
          <cell r="HE722">
            <v>0</v>
          </cell>
        </row>
        <row r="723">
          <cell r="HA723">
            <v>0</v>
          </cell>
          <cell r="HE723">
            <v>0</v>
          </cell>
        </row>
        <row r="724">
          <cell r="HA724">
            <v>0</v>
          </cell>
          <cell r="HE724">
            <v>0</v>
          </cell>
        </row>
        <row r="725">
          <cell r="AV725">
            <v>1105010</v>
          </cell>
          <cell r="HA725">
            <v>0</v>
          </cell>
          <cell r="HE725">
            <v>0</v>
          </cell>
        </row>
        <row r="726">
          <cell r="HA726">
            <v>0</v>
          </cell>
          <cell r="HE726">
            <v>0</v>
          </cell>
        </row>
        <row r="727">
          <cell r="HA727">
            <v>0</v>
          </cell>
          <cell r="HE727">
            <v>0</v>
          </cell>
        </row>
        <row r="728">
          <cell r="AV728">
            <v>1312100</v>
          </cell>
          <cell r="HA728">
            <v>0</v>
          </cell>
          <cell r="HE728">
            <v>0</v>
          </cell>
        </row>
        <row r="729">
          <cell r="AV729">
            <v>1312100</v>
          </cell>
          <cell r="HA729">
            <v>0</v>
          </cell>
          <cell r="HE729">
            <v>0</v>
          </cell>
        </row>
        <row r="730">
          <cell r="AV730" t="str">
            <v>1312100</v>
          </cell>
          <cell r="HA730">
            <v>0</v>
          </cell>
          <cell r="HE730">
            <v>0</v>
          </cell>
        </row>
        <row r="731">
          <cell r="HA731">
            <v>0</v>
          </cell>
          <cell r="HE731">
            <v>0</v>
          </cell>
        </row>
        <row r="732">
          <cell r="HA732">
            <v>0</v>
          </cell>
          <cell r="HE732">
            <v>0</v>
          </cell>
        </row>
        <row r="733">
          <cell r="AV733" t="str">
            <v>1312105</v>
          </cell>
          <cell r="HA733">
            <v>0</v>
          </cell>
          <cell r="HE733">
            <v>0</v>
          </cell>
        </row>
        <row r="734">
          <cell r="HA734">
            <v>0</v>
          </cell>
          <cell r="HE734">
            <v>0</v>
          </cell>
        </row>
        <row r="735">
          <cell r="HA735">
            <v>0</v>
          </cell>
          <cell r="HE735">
            <v>0</v>
          </cell>
        </row>
        <row r="736">
          <cell r="AV736" t="str">
            <v>1312110</v>
          </cell>
          <cell r="HA736">
            <v>0</v>
          </cell>
          <cell r="HE736">
            <v>0</v>
          </cell>
        </row>
        <row r="737">
          <cell r="HA737">
            <v>0</v>
          </cell>
          <cell r="HE737">
            <v>0</v>
          </cell>
        </row>
        <row r="738">
          <cell r="HA738">
            <v>0</v>
          </cell>
          <cell r="HE738">
            <v>0</v>
          </cell>
        </row>
        <row r="739">
          <cell r="AV739" t="str">
            <v>1312111</v>
          </cell>
          <cell r="HA739">
            <v>0</v>
          </cell>
          <cell r="HE739">
            <v>0</v>
          </cell>
        </row>
        <row r="740">
          <cell r="AV740" t="str">
            <v>1312111</v>
          </cell>
          <cell r="HA740">
            <v>240</v>
          </cell>
          <cell r="HE740">
            <v>240</v>
          </cell>
        </row>
        <row r="741">
          <cell r="HA741">
            <v>16240</v>
          </cell>
          <cell r="HE741">
            <v>16240</v>
          </cell>
        </row>
        <row r="742">
          <cell r="HA742">
            <v>0</v>
          </cell>
          <cell r="HE742">
            <v>0</v>
          </cell>
        </row>
        <row r="743">
          <cell r="AV743" t="str">
            <v>1312112</v>
          </cell>
          <cell r="HA743">
            <v>0</v>
          </cell>
          <cell r="HE743">
            <v>0</v>
          </cell>
        </row>
        <row r="744">
          <cell r="AV744" t="str">
            <v>1312112</v>
          </cell>
          <cell r="HA744">
            <v>90</v>
          </cell>
          <cell r="HE744">
            <v>90</v>
          </cell>
        </row>
        <row r="745">
          <cell r="HA745">
            <v>6090</v>
          </cell>
          <cell r="HE745">
            <v>6090</v>
          </cell>
        </row>
        <row r="746">
          <cell r="HA746">
            <v>0</v>
          </cell>
          <cell r="HE746">
            <v>0</v>
          </cell>
        </row>
        <row r="747">
          <cell r="AV747" t="str">
            <v>1312113</v>
          </cell>
          <cell r="HA747">
            <v>0</v>
          </cell>
          <cell r="HE747">
            <v>0</v>
          </cell>
        </row>
        <row r="748">
          <cell r="AV748" t="str">
            <v>1312113</v>
          </cell>
        </row>
        <row r="749">
          <cell r="HA749">
            <v>0</v>
          </cell>
          <cell r="HE749">
            <v>0</v>
          </cell>
        </row>
        <row r="750">
          <cell r="HA750">
            <v>0</v>
          </cell>
          <cell r="HE750">
            <v>0</v>
          </cell>
        </row>
        <row r="751">
          <cell r="AV751">
            <v>1312114</v>
          </cell>
        </row>
        <row r="752">
          <cell r="AV752">
            <v>1312114</v>
          </cell>
        </row>
        <row r="755">
          <cell r="AV755" t="str">
            <v>1313101</v>
          </cell>
        </row>
        <row r="758">
          <cell r="AV758" t="str">
            <v>1313100</v>
          </cell>
          <cell r="HA758">
            <v>0</v>
          </cell>
          <cell r="HE758">
            <v>0</v>
          </cell>
        </row>
        <row r="759">
          <cell r="HA759">
            <v>0</v>
          </cell>
          <cell r="HE759">
            <v>0</v>
          </cell>
        </row>
        <row r="760">
          <cell r="HA760">
            <v>0</v>
          </cell>
          <cell r="HE760">
            <v>0</v>
          </cell>
        </row>
        <row r="761">
          <cell r="HA761">
            <v>39594</v>
          </cell>
          <cell r="HE761">
            <v>32977</v>
          </cell>
        </row>
        <row r="762">
          <cell r="HA762">
            <v>49</v>
          </cell>
          <cell r="HE762">
            <v>0</v>
          </cell>
        </row>
        <row r="763">
          <cell r="HA763">
            <v>515</v>
          </cell>
          <cell r="HE763">
            <v>634</v>
          </cell>
        </row>
        <row r="764">
          <cell r="HA764">
            <v>0</v>
          </cell>
          <cell r="HE764">
            <v>940</v>
          </cell>
        </row>
        <row r="765">
          <cell r="HA765">
            <v>44073</v>
          </cell>
          <cell r="HE765">
            <v>132610</v>
          </cell>
        </row>
        <row r="767">
          <cell r="HA767">
            <v>9632.5</v>
          </cell>
          <cell r="HE767">
            <v>10272.85</v>
          </cell>
        </row>
        <row r="768">
          <cell r="HA768">
            <v>553920.5</v>
          </cell>
          <cell r="HE768">
            <v>610569.85</v>
          </cell>
        </row>
        <row r="770">
          <cell r="HA770">
            <v>9632.5</v>
          </cell>
          <cell r="HE770">
            <v>10272.85</v>
          </cell>
        </row>
        <row r="771">
          <cell r="HA771">
            <v>553920.5</v>
          </cell>
          <cell r="HE771">
            <v>610569.85</v>
          </cell>
        </row>
        <row r="772">
          <cell r="HA772">
            <v>0</v>
          </cell>
          <cell r="HE772">
            <v>0</v>
          </cell>
        </row>
        <row r="773">
          <cell r="HA773">
            <v>0</v>
          </cell>
          <cell r="HE773">
            <v>0</v>
          </cell>
        </row>
      </sheetData>
      <sheetData sheetId="2"/>
      <sheetData sheetId="3"/>
      <sheetData sheetId="4"/>
      <sheetData sheetId="5"/>
      <sheetData sheetId="6">
        <row r="2">
          <cell r="F2" t="str">
            <v>종류</v>
          </cell>
          <cell r="G2" t="str">
            <v>원재료명</v>
          </cell>
        </row>
        <row r="4">
          <cell r="D4">
            <v>0</v>
          </cell>
        </row>
        <row r="5">
          <cell r="D5">
            <v>3429001</v>
          </cell>
          <cell r="E5">
            <v>3429001</v>
          </cell>
        </row>
        <row r="6">
          <cell r="D6">
            <v>3429003</v>
          </cell>
          <cell r="E6">
            <v>3429003</v>
          </cell>
        </row>
        <row r="7">
          <cell r="D7">
            <v>3429005</v>
          </cell>
          <cell r="E7">
            <v>3429005</v>
          </cell>
          <cell r="F7" t="str">
            <v>(코팅)EG</v>
          </cell>
          <cell r="G7" t="str">
            <v>Ethylene Glycol</v>
          </cell>
        </row>
        <row r="8">
          <cell r="D8">
            <v>3429025</v>
          </cell>
          <cell r="E8">
            <v>3429025</v>
          </cell>
          <cell r="F8" t="str">
            <v>(코팅)경화제</v>
          </cell>
          <cell r="G8" t="str">
            <v>SV-02</v>
          </cell>
        </row>
        <row r="9">
          <cell r="D9">
            <v>3429009</v>
          </cell>
          <cell r="E9">
            <v>3429009</v>
          </cell>
          <cell r="F9" t="str">
            <v>(코팅)IPA</v>
          </cell>
          <cell r="G9" t="str">
            <v>Isopproyl alcohol</v>
          </cell>
        </row>
        <row r="10">
          <cell r="D10">
            <v>3429011</v>
          </cell>
          <cell r="E10">
            <v>3429011</v>
          </cell>
          <cell r="F10" t="str">
            <v>(코팅)TEA2</v>
          </cell>
          <cell r="G10" t="str">
            <v>Triethanolamine</v>
          </cell>
        </row>
        <row r="11">
          <cell r="D11">
            <v>3429013</v>
          </cell>
          <cell r="E11">
            <v>3429013</v>
          </cell>
          <cell r="F11" t="str">
            <v>(코팅)</v>
          </cell>
          <cell r="G11" t="str">
            <v>FC-4430</v>
          </cell>
        </row>
        <row r="12">
          <cell r="D12">
            <v>3429015</v>
          </cell>
          <cell r="E12">
            <v>3429015</v>
          </cell>
        </row>
        <row r="13">
          <cell r="D13">
            <v>3429017</v>
          </cell>
          <cell r="E13">
            <v>3429017</v>
          </cell>
          <cell r="F13" t="str">
            <v>(코팅)경화제</v>
          </cell>
          <cell r="G13" t="str">
            <v>EJ-190</v>
          </cell>
        </row>
        <row r="14">
          <cell r="D14">
            <v>3429018</v>
          </cell>
          <cell r="E14">
            <v>3429018</v>
          </cell>
        </row>
        <row r="15">
          <cell r="D15">
            <v>3429022</v>
          </cell>
          <cell r="E15">
            <v>3429022</v>
          </cell>
        </row>
        <row r="16">
          <cell r="D16">
            <v>3429023</v>
          </cell>
          <cell r="E16">
            <v>3429023</v>
          </cell>
        </row>
        <row r="17">
          <cell r="D17">
            <v>3429024</v>
          </cell>
          <cell r="E17">
            <v>3429024</v>
          </cell>
        </row>
        <row r="18">
          <cell r="D18">
            <v>3407001</v>
          </cell>
          <cell r="E18">
            <v>3407001</v>
          </cell>
          <cell r="F18" t="str">
            <v>M/B</v>
          </cell>
          <cell r="G18" t="str">
            <v>M/B BLUE 5296A</v>
          </cell>
        </row>
        <row r="19">
          <cell r="D19">
            <v>3407002</v>
          </cell>
          <cell r="E19">
            <v>3407002</v>
          </cell>
          <cell r="F19" t="str">
            <v>M/B</v>
          </cell>
          <cell r="G19" t="str">
            <v>M/B GREEN 6205A</v>
          </cell>
        </row>
        <row r="20">
          <cell r="D20">
            <v>3407003</v>
          </cell>
          <cell r="E20">
            <v>3407003</v>
          </cell>
          <cell r="F20" t="str">
            <v>M/B</v>
          </cell>
          <cell r="G20" t="str">
            <v>M/B ORANGE 2135A</v>
          </cell>
        </row>
        <row r="21">
          <cell r="D21">
            <v>0</v>
          </cell>
        </row>
        <row r="22">
          <cell r="D22">
            <v>3407005</v>
          </cell>
          <cell r="E22">
            <v>3407005</v>
          </cell>
          <cell r="F22" t="str">
            <v>M/B</v>
          </cell>
          <cell r="G22" t="str">
            <v>M/B YELLOW 3148A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3407023</v>
          </cell>
          <cell r="E40">
            <v>3407023</v>
          </cell>
          <cell r="F40" t="str">
            <v>ABS</v>
          </cell>
          <cell r="G40" t="str">
            <v>M/B RED 4996A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3407103</v>
          </cell>
          <cell r="E43">
            <v>3407103</v>
          </cell>
          <cell r="F43" t="str">
            <v>ABS</v>
          </cell>
          <cell r="G43" t="str">
            <v>GP35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3407109</v>
          </cell>
          <cell r="E49">
            <v>3407109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3407114</v>
          </cell>
          <cell r="E54">
            <v>3407114</v>
          </cell>
        </row>
        <row r="55">
          <cell r="D55">
            <v>3407115</v>
          </cell>
          <cell r="E55">
            <v>3407115</v>
          </cell>
        </row>
        <row r="56">
          <cell r="D56">
            <v>0</v>
          </cell>
        </row>
        <row r="57">
          <cell r="D57">
            <v>3402071</v>
          </cell>
          <cell r="E57">
            <v>3402071</v>
          </cell>
        </row>
        <row r="58">
          <cell r="D58">
            <v>3402081</v>
          </cell>
          <cell r="E58">
            <v>3402081</v>
          </cell>
        </row>
        <row r="59">
          <cell r="D59">
            <v>3402051</v>
          </cell>
          <cell r="E59">
            <v>3402051</v>
          </cell>
        </row>
        <row r="60">
          <cell r="D60">
            <v>0</v>
          </cell>
        </row>
        <row r="61">
          <cell r="D61">
            <v>3402105</v>
          </cell>
          <cell r="E61">
            <v>3402105</v>
          </cell>
          <cell r="F61" t="str">
            <v>MPPO</v>
          </cell>
          <cell r="G61" t="str">
            <v>MPPO JM-595M</v>
          </cell>
        </row>
        <row r="62">
          <cell r="D62">
            <v>3402108</v>
          </cell>
          <cell r="E62">
            <v>3402108</v>
          </cell>
          <cell r="F62" t="str">
            <v>MPPO</v>
          </cell>
          <cell r="G62" t="str">
            <v>MPPO JM-597M</v>
          </cell>
        </row>
        <row r="63">
          <cell r="D63">
            <v>3402107</v>
          </cell>
          <cell r="E63">
            <v>3402107</v>
          </cell>
        </row>
        <row r="64">
          <cell r="D64">
            <v>3402104</v>
          </cell>
          <cell r="E64">
            <v>3402104</v>
          </cell>
        </row>
        <row r="65">
          <cell r="D65">
            <v>3402201</v>
          </cell>
          <cell r="E65">
            <v>3402201</v>
          </cell>
        </row>
        <row r="66">
          <cell r="D66">
            <v>3402093</v>
          </cell>
          <cell r="E66">
            <v>3402093</v>
          </cell>
        </row>
        <row r="67">
          <cell r="D67">
            <v>3403323</v>
          </cell>
          <cell r="E67">
            <v>3403323</v>
          </cell>
          <cell r="F67" t="str">
            <v>R재</v>
          </cell>
          <cell r="G67" t="str">
            <v>MPPO&lt;PK&gt;</v>
          </cell>
        </row>
        <row r="68">
          <cell r="D68">
            <v>3402035</v>
          </cell>
          <cell r="E68">
            <v>3402035</v>
          </cell>
          <cell r="F68" t="str">
            <v>PPE VIRGIN</v>
          </cell>
          <cell r="G68" t="str">
            <v>MPPO&lt;LXR-035&gt;</v>
          </cell>
        </row>
        <row r="69">
          <cell r="D69">
            <v>3402016</v>
          </cell>
          <cell r="E69">
            <v>3402016</v>
          </cell>
          <cell r="F69" t="str">
            <v>PPE VIRGIN</v>
          </cell>
          <cell r="G69" t="str">
            <v>MPPO&lt;LXN-045&gt;</v>
          </cell>
        </row>
        <row r="70">
          <cell r="D70">
            <v>3402014</v>
          </cell>
          <cell r="E70">
            <v>3402014</v>
          </cell>
          <cell r="F70" t="str">
            <v>PPE VIRGIN</v>
          </cell>
          <cell r="G70" t="str">
            <v>MPPO&lt;LXN-040&gt;POWDER</v>
          </cell>
        </row>
        <row r="71">
          <cell r="D71">
            <v>3402015</v>
          </cell>
          <cell r="E71">
            <v>3402015</v>
          </cell>
          <cell r="F71" t="str">
            <v>PPE VIRGIN</v>
          </cell>
          <cell r="G71" t="str">
            <v>MPPO&lt;LXN-040&gt;FLAKE</v>
          </cell>
        </row>
        <row r="72">
          <cell r="D72">
            <v>3402042</v>
          </cell>
          <cell r="E72" t="str">
            <v>3402042</v>
          </cell>
          <cell r="F72" t="str">
            <v>PPE VIRGIN</v>
          </cell>
          <cell r="G72" t="str">
            <v>PPE XB040</v>
          </cell>
        </row>
        <row r="73">
          <cell r="D73">
            <v>3403303</v>
          </cell>
          <cell r="E73">
            <v>3403303</v>
          </cell>
          <cell r="F73" t="str">
            <v>R재</v>
          </cell>
          <cell r="G73" t="str">
            <v>MPPO&lt;KC&gt;</v>
          </cell>
        </row>
        <row r="74">
          <cell r="D74">
            <v>3403305</v>
          </cell>
          <cell r="E74">
            <v>3403305</v>
          </cell>
          <cell r="F74" t="str">
            <v>R재</v>
          </cell>
          <cell r="G74" t="str">
            <v>MPPO&lt;S&gt;</v>
          </cell>
        </row>
        <row r="75">
          <cell r="D75">
            <v>3403307</v>
          </cell>
          <cell r="E75">
            <v>3403307</v>
          </cell>
          <cell r="F75" t="str">
            <v>R재</v>
          </cell>
          <cell r="G75" t="str">
            <v>MPPO S150</v>
          </cell>
        </row>
        <row r="76">
          <cell r="D76">
            <v>3403309</v>
          </cell>
          <cell r="E76">
            <v>3403309</v>
          </cell>
          <cell r="F76" t="str">
            <v>R재</v>
          </cell>
          <cell r="G76" t="str">
            <v>MPPO&lt;EK&gt;</v>
          </cell>
        </row>
        <row r="77">
          <cell r="D77">
            <v>3403311</v>
          </cell>
          <cell r="E77">
            <v>3403311</v>
          </cell>
          <cell r="F77" t="str">
            <v>R재</v>
          </cell>
          <cell r="G77" t="str">
            <v>MPPO&lt;DW&gt;</v>
          </cell>
        </row>
        <row r="78">
          <cell r="D78">
            <v>3403313</v>
          </cell>
          <cell r="E78">
            <v>3403313</v>
          </cell>
          <cell r="F78" t="str">
            <v>R재</v>
          </cell>
          <cell r="G78" t="str">
            <v>MPPO&lt;GF&gt;</v>
          </cell>
        </row>
        <row r="79">
          <cell r="D79">
            <v>3403315</v>
          </cell>
          <cell r="E79">
            <v>3403315</v>
          </cell>
        </row>
        <row r="80">
          <cell r="D80">
            <v>3403317</v>
          </cell>
          <cell r="E80">
            <v>3403317</v>
          </cell>
        </row>
        <row r="81">
          <cell r="D81">
            <v>3403319</v>
          </cell>
          <cell r="E81">
            <v>3403319</v>
          </cell>
        </row>
        <row r="82">
          <cell r="D82">
            <v>3403321</v>
          </cell>
          <cell r="E82">
            <v>3403321</v>
          </cell>
          <cell r="F82" t="str">
            <v>R재</v>
          </cell>
          <cell r="G82" t="str">
            <v>MPPO&lt;P&gt;</v>
          </cell>
        </row>
        <row r="83">
          <cell r="D83">
            <v>3403320</v>
          </cell>
          <cell r="E83">
            <v>3403320</v>
          </cell>
        </row>
        <row r="84">
          <cell r="D84">
            <v>3403319</v>
          </cell>
          <cell r="E84">
            <v>3403319</v>
          </cell>
          <cell r="F84" t="str">
            <v>R재</v>
          </cell>
          <cell r="G84" t="str">
            <v>MPPO&lt;GF-U&gt;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3404301</v>
          </cell>
          <cell r="E88">
            <v>3404301</v>
          </cell>
          <cell r="F88" t="str">
            <v>R재</v>
          </cell>
          <cell r="G88" t="str">
            <v>MPSU(DW)</v>
          </cell>
        </row>
        <row r="89">
          <cell r="D89">
            <v>3404302</v>
          </cell>
          <cell r="E89">
            <v>3404302</v>
          </cell>
          <cell r="F89" t="str">
            <v>R재</v>
          </cell>
          <cell r="G89" t="str">
            <v>MPSU(EK)</v>
          </cell>
        </row>
        <row r="90">
          <cell r="D90">
            <v>3404303</v>
          </cell>
          <cell r="E90">
            <v>3404303</v>
          </cell>
          <cell r="F90" t="str">
            <v>R재</v>
          </cell>
          <cell r="G90" t="str">
            <v>MPSU(B)</v>
          </cell>
        </row>
        <row r="91">
          <cell r="D91">
            <v>3408101</v>
          </cell>
          <cell r="E91">
            <v>3408101</v>
          </cell>
        </row>
        <row r="92">
          <cell r="D92">
            <v>3410240</v>
          </cell>
          <cell r="E92">
            <v>3410240</v>
          </cell>
          <cell r="F92" t="str">
            <v>PE/POWDER</v>
          </cell>
          <cell r="G92" t="str">
            <v>HM080</v>
          </cell>
        </row>
        <row r="93">
          <cell r="D93">
            <v>3410241</v>
          </cell>
          <cell r="E93">
            <v>3410241</v>
          </cell>
        </row>
        <row r="94">
          <cell r="D94">
            <v>0</v>
          </cell>
        </row>
        <row r="95">
          <cell r="D95">
            <v>3410245</v>
          </cell>
          <cell r="E95">
            <v>3410245</v>
          </cell>
          <cell r="F95" t="str">
            <v>PB</v>
          </cell>
          <cell r="G95" t="str">
            <v>PB-1300</v>
          </cell>
        </row>
        <row r="96">
          <cell r="D96">
            <v>3410246</v>
          </cell>
          <cell r="E96">
            <v>3410246</v>
          </cell>
          <cell r="F96" t="str">
            <v>PB</v>
          </cell>
          <cell r="G96" t="str">
            <v>PB-2400</v>
          </cell>
        </row>
        <row r="97">
          <cell r="D97">
            <v>3409101</v>
          </cell>
          <cell r="E97">
            <v>3409101</v>
          </cell>
        </row>
        <row r="98">
          <cell r="D98">
            <v>3409402</v>
          </cell>
          <cell r="E98">
            <v>3409402</v>
          </cell>
          <cell r="F98" t="str">
            <v>PC</v>
          </cell>
          <cell r="G98" t="str">
            <v>3020A(T)</v>
          </cell>
        </row>
        <row r="99">
          <cell r="D99">
            <v>3409102</v>
          </cell>
          <cell r="E99">
            <v>3409102</v>
          </cell>
        </row>
        <row r="100">
          <cell r="D100">
            <v>3409105</v>
          </cell>
          <cell r="E100">
            <v>3409105</v>
          </cell>
          <cell r="F100" t="str">
            <v>PC</v>
          </cell>
          <cell r="G100" t="str">
            <v>1303-07</v>
          </cell>
        </row>
        <row r="101">
          <cell r="D101">
            <v>3409003</v>
          </cell>
          <cell r="E101">
            <v>3409003</v>
          </cell>
          <cell r="F101" t="str">
            <v>PC</v>
          </cell>
          <cell r="G101" t="str">
            <v>PC BK PELLET</v>
          </cell>
        </row>
        <row r="102">
          <cell r="D102">
            <v>3409107</v>
          </cell>
          <cell r="E102">
            <v>3409107</v>
          </cell>
          <cell r="F102" t="str">
            <v>PC</v>
          </cell>
          <cell r="G102" t="str">
            <v>1301-30</v>
          </cell>
        </row>
        <row r="103">
          <cell r="D103">
            <v>3409225</v>
          </cell>
          <cell r="E103">
            <v>3409225</v>
          </cell>
          <cell r="F103" t="str">
            <v>PC</v>
          </cell>
          <cell r="G103" t="str">
            <v>Teijin PC L-1225L</v>
          </cell>
        </row>
        <row r="104">
          <cell r="D104">
            <v>0</v>
          </cell>
        </row>
        <row r="105">
          <cell r="D105">
            <v>3409005</v>
          </cell>
          <cell r="E105">
            <v>3409005</v>
          </cell>
        </row>
        <row r="106">
          <cell r="D106">
            <v>3405105</v>
          </cell>
          <cell r="E106">
            <v>3405105</v>
          </cell>
          <cell r="F106" t="str">
            <v>PES</v>
          </cell>
          <cell r="G106" t="str">
            <v>PES(신A)E1010 PELLET</v>
          </cell>
        </row>
        <row r="107">
          <cell r="D107">
            <v>3410101</v>
          </cell>
          <cell r="E107">
            <v>3410101</v>
          </cell>
          <cell r="F107" t="str">
            <v>LLDPE</v>
          </cell>
          <cell r="G107" t="str">
            <v>HY7635</v>
          </cell>
        </row>
        <row r="108">
          <cell r="D108">
            <v>3411102</v>
          </cell>
          <cell r="E108">
            <v>3411102</v>
          </cell>
          <cell r="F108" t="str">
            <v>PES</v>
          </cell>
          <cell r="G108" t="str">
            <v>PES(신A)E3010 PELLET</v>
          </cell>
        </row>
        <row r="109">
          <cell r="D109">
            <v>3410201</v>
          </cell>
          <cell r="E109">
            <v>3410201</v>
          </cell>
        </row>
        <row r="110">
          <cell r="D110">
            <v>3409301</v>
          </cell>
          <cell r="E110">
            <v>3409301</v>
          </cell>
        </row>
        <row r="111">
          <cell r="D111">
            <v>3405104</v>
          </cell>
          <cell r="E111">
            <v>3405104</v>
          </cell>
        </row>
        <row r="112">
          <cell r="D112">
            <v>3405103</v>
          </cell>
          <cell r="E112" t="str">
            <v>3405103</v>
          </cell>
        </row>
        <row r="113">
          <cell r="D113">
            <v>3411101</v>
          </cell>
          <cell r="E113">
            <v>3411101</v>
          </cell>
        </row>
        <row r="114">
          <cell r="D114">
            <v>3425010</v>
          </cell>
          <cell r="E114">
            <v>3425010</v>
          </cell>
          <cell r="F114" t="str">
            <v>PBT</v>
          </cell>
          <cell r="G114" t="str">
            <v>1100HQ(B/S)</v>
          </cell>
        </row>
        <row r="115">
          <cell r="D115">
            <v>3405102</v>
          </cell>
          <cell r="E115">
            <v>3405102</v>
          </cell>
          <cell r="F115" t="str">
            <v>PES</v>
          </cell>
          <cell r="G115" t="str">
            <v>PES(신A)E1010 E2010 PELLET</v>
          </cell>
        </row>
        <row r="116">
          <cell r="D116">
            <v>3405100</v>
          </cell>
          <cell r="E116">
            <v>3405100</v>
          </cell>
          <cell r="F116" t="str">
            <v>PES</v>
          </cell>
          <cell r="G116" t="str">
            <v>PES(신B)E2010+GF</v>
          </cell>
        </row>
        <row r="117">
          <cell r="D117">
            <v>3405101</v>
          </cell>
          <cell r="E117">
            <v>3405101</v>
          </cell>
          <cell r="F117" t="str">
            <v>PES</v>
          </cell>
          <cell r="G117" t="str">
            <v>PES(신A)E2010 PELLET</v>
          </cell>
        </row>
        <row r="118">
          <cell r="D118">
            <v>3405132</v>
          </cell>
          <cell r="E118">
            <v>3405132</v>
          </cell>
          <cell r="F118" t="str">
            <v>PES</v>
          </cell>
          <cell r="G118" t="str">
            <v>PES(신B)PELLET</v>
          </cell>
        </row>
        <row r="119">
          <cell r="D119">
            <v>3405131</v>
          </cell>
          <cell r="E119">
            <v>3405131</v>
          </cell>
          <cell r="F119" t="str">
            <v>PES</v>
          </cell>
          <cell r="G119" t="str">
            <v>PES(신B)</v>
          </cell>
        </row>
        <row r="120">
          <cell r="D120">
            <v>3405141</v>
          </cell>
          <cell r="E120">
            <v>3405141</v>
          </cell>
          <cell r="F120" t="str">
            <v>R재</v>
          </cell>
          <cell r="G120" t="str">
            <v>PES(B)</v>
          </cell>
        </row>
        <row r="121">
          <cell r="D121">
            <v>3405142</v>
          </cell>
          <cell r="E121">
            <v>3405142</v>
          </cell>
          <cell r="F121" t="str">
            <v>R재</v>
          </cell>
          <cell r="G121" t="str">
            <v>PES(B)재검사</v>
          </cell>
        </row>
        <row r="122">
          <cell r="D122">
            <v>3405111</v>
          </cell>
          <cell r="E122">
            <v>3405111</v>
          </cell>
          <cell r="F122" t="str">
            <v>PES</v>
          </cell>
          <cell r="G122" t="str">
            <v>PES(E2010 NC)</v>
          </cell>
        </row>
        <row r="123">
          <cell r="D123">
            <v>3410131</v>
          </cell>
          <cell r="E123">
            <v>3410131</v>
          </cell>
        </row>
        <row r="124">
          <cell r="D124">
            <v>3404403</v>
          </cell>
          <cell r="E124">
            <v>3404403</v>
          </cell>
        </row>
        <row r="125">
          <cell r="D125">
            <v>3409109</v>
          </cell>
          <cell r="E125" t="str">
            <v>3409109</v>
          </cell>
          <cell r="F125" t="str">
            <v>PC</v>
          </cell>
          <cell r="G125" t="str">
            <v>PC 1300-03GA(OFF)</v>
          </cell>
        </row>
        <row r="126">
          <cell r="D126">
            <v>3427001</v>
          </cell>
          <cell r="E126">
            <v>3427001</v>
          </cell>
        </row>
        <row r="127">
          <cell r="D127">
            <v>3410211</v>
          </cell>
          <cell r="E127">
            <v>3410211</v>
          </cell>
          <cell r="F127" t="str">
            <v>HDPE</v>
          </cell>
          <cell r="G127" t="str">
            <v>F920A</v>
          </cell>
        </row>
        <row r="128">
          <cell r="D128">
            <v>3410221</v>
          </cell>
          <cell r="E128">
            <v>3410221</v>
          </cell>
          <cell r="F128" t="str">
            <v>HDPE</v>
          </cell>
          <cell r="G128" t="str">
            <v>E308T</v>
          </cell>
        </row>
        <row r="129">
          <cell r="D129">
            <v>3410000</v>
          </cell>
          <cell r="E129">
            <v>3410000</v>
          </cell>
          <cell r="F129" t="str">
            <v>HDPE</v>
          </cell>
          <cell r="G129" t="str">
            <v>C828A</v>
          </cell>
        </row>
        <row r="130">
          <cell r="D130">
            <v>3410141</v>
          </cell>
          <cell r="E130">
            <v>3410141</v>
          </cell>
        </row>
        <row r="131">
          <cell r="D131">
            <v>3428001</v>
          </cell>
          <cell r="E131">
            <v>3428001</v>
          </cell>
          <cell r="F131" t="str">
            <v>PMMA</v>
          </cell>
          <cell r="G131" t="str">
            <v>IF850</v>
          </cell>
        </row>
        <row r="132">
          <cell r="D132">
            <v>3499002</v>
          </cell>
          <cell r="E132">
            <v>3499002</v>
          </cell>
        </row>
        <row r="133">
          <cell r="D133">
            <v>3412201</v>
          </cell>
          <cell r="E133">
            <v>3412201</v>
          </cell>
        </row>
        <row r="134">
          <cell r="D134">
            <v>3412203</v>
          </cell>
          <cell r="E134">
            <v>3412203</v>
          </cell>
        </row>
        <row r="135">
          <cell r="D135">
            <v>3412205</v>
          </cell>
          <cell r="E135">
            <v>3412205</v>
          </cell>
          <cell r="F135" t="str">
            <v>PP</v>
          </cell>
          <cell r="G135" t="str">
            <v>J800</v>
          </cell>
        </row>
        <row r="136">
          <cell r="D136">
            <v>3412207</v>
          </cell>
          <cell r="E136">
            <v>3412207</v>
          </cell>
          <cell r="F136" t="str">
            <v>PP</v>
          </cell>
          <cell r="G136" t="str">
            <v>RJ770</v>
          </cell>
        </row>
        <row r="137">
          <cell r="D137">
            <v>3427002</v>
          </cell>
          <cell r="E137">
            <v>3427002</v>
          </cell>
        </row>
        <row r="138">
          <cell r="D138">
            <v>3412101</v>
          </cell>
          <cell r="E138">
            <v>3412101</v>
          </cell>
          <cell r="F138" t="str">
            <v>PP</v>
          </cell>
          <cell r="G138" t="str">
            <v>CB5108</v>
          </cell>
        </row>
        <row r="139">
          <cell r="D139">
            <v>3412103</v>
          </cell>
          <cell r="E139">
            <v>3412103</v>
          </cell>
        </row>
        <row r="140">
          <cell r="D140">
            <v>3422002</v>
          </cell>
          <cell r="E140">
            <v>3422002</v>
          </cell>
          <cell r="F140" t="str">
            <v>EVA</v>
          </cell>
          <cell r="G140" t="str">
            <v>EVA VC590</v>
          </cell>
        </row>
        <row r="141">
          <cell r="D141">
            <v>3422001</v>
          </cell>
          <cell r="E141">
            <v>3422001</v>
          </cell>
          <cell r="F141" t="str">
            <v>EVA</v>
          </cell>
          <cell r="G141" t="str">
            <v>EVA VC640</v>
          </cell>
        </row>
        <row r="142">
          <cell r="D142">
            <v>3422050</v>
          </cell>
          <cell r="E142">
            <v>3422050</v>
          </cell>
          <cell r="F142" t="str">
            <v>EBA</v>
          </cell>
          <cell r="G142" t="str">
            <v>EBA E1770</v>
          </cell>
        </row>
        <row r="143">
          <cell r="D143">
            <v>3412701</v>
          </cell>
          <cell r="E143">
            <v>3412701</v>
          </cell>
        </row>
        <row r="144">
          <cell r="D144">
            <v>3412106</v>
          </cell>
          <cell r="E144">
            <v>3412106</v>
          </cell>
        </row>
        <row r="145">
          <cell r="D145">
            <v>3449001</v>
          </cell>
          <cell r="E145">
            <v>3449001</v>
          </cell>
        </row>
        <row r="146">
          <cell r="D146">
            <v>3412105</v>
          </cell>
          <cell r="E146">
            <v>3412105</v>
          </cell>
        </row>
        <row r="147">
          <cell r="D147">
            <v>3412801</v>
          </cell>
          <cell r="E147">
            <v>3412801</v>
          </cell>
        </row>
        <row r="148">
          <cell r="D148">
            <v>3412851</v>
          </cell>
          <cell r="E148">
            <v>3412851</v>
          </cell>
          <cell r="F148" t="str">
            <v>PP</v>
          </cell>
          <cell r="G148" t="str">
            <v>PP HA5029</v>
          </cell>
        </row>
        <row r="149">
          <cell r="D149">
            <v>3412802</v>
          </cell>
          <cell r="E149">
            <v>3412802</v>
          </cell>
        </row>
        <row r="150">
          <cell r="D150">
            <v>3406101</v>
          </cell>
          <cell r="E150">
            <v>3406101</v>
          </cell>
          <cell r="F150" t="str">
            <v>R재</v>
          </cell>
          <cell r="G150" t="str">
            <v>PPE&lt;B&gt;</v>
          </cell>
        </row>
        <row r="151">
          <cell r="D151">
            <v>3406103</v>
          </cell>
          <cell r="E151">
            <v>3406103</v>
          </cell>
          <cell r="F151" t="str">
            <v>R재</v>
          </cell>
          <cell r="G151" t="str">
            <v>PPE&lt;SH&gt;</v>
          </cell>
        </row>
        <row r="152">
          <cell r="D152">
            <v>3406105</v>
          </cell>
          <cell r="E152">
            <v>3406105</v>
          </cell>
          <cell r="F152" t="str">
            <v>R재</v>
          </cell>
          <cell r="G152" t="str">
            <v>PPE&lt;A&gt;</v>
          </cell>
        </row>
        <row r="153">
          <cell r="D153">
            <v>3402040</v>
          </cell>
          <cell r="E153">
            <v>3402040</v>
          </cell>
          <cell r="F153" t="str">
            <v>PPE VIRGIN</v>
          </cell>
          <cell r="G153" t="str">
            <v>MPPO&lt;LXR-040C&gt;</v>
          </cell>
        </row>
        <row r="154">
          <cell r="D154">
            <v>3479205</v>
          </cell>
          <cell r="E154">
            <v>3479205</v>
          </cell>
          <cell r="F154" t="str">
            <v>R재</v>
          </cell>
          <cell r="G154" t="str">
            <v>PPE&lt;C&gt;</v>
          </cell>
        </row>
        <row r="155">
          <cell r="D155">
            <v>3406107</v>
          </cell>
          <cell r="E155">
            <v>3406107</v>
          </cell>
          <cell r="F155" t="str">
            <v>R재</v>
          </cell>
          <cell r="G155" t="str">
            <v>PPE&lt;EL&gt;</v>
          </cell>
        </row>
        <row r="156">
          <cell r="D156">
            <v>3406121</v>
          </cell>
          <cell r="E156">
            <v>3406121</v>
          </cell>
          <cell r="F156" t="str">
            <v>R재</v>
          </cell>
          <cell r="G156" t="str">
            <v>PPE&lt;P&gt;</v>
          </cell>
        </row>
        <row r="157">
          <cell r="D157">
            <v>3406122</v>
          </cell>
          <cell r="E157">
            <v>3406122</v>
          </cell>
          <cell r="G157" t="str">
            <v>PPE&lt;PK&gt;</v>
          </cell>
        </row>
        <row r="158">
          <cell r="D158">
            <v>3413101</v>
          </cell>
          <cell r="E158">
            <v>3413101</v>
          </cell>
          <cell r="F158" t="str">
            <v>PS</v>
          </cell>
          <cell r="G158" t="str">
            <v>JM-7600BK</v>
          </cell>
        </row>
        <row r="159">
          <cell r="D159">
            <v>0</v>
          </cell>
        </row>
        <row r="160">
          <cell r="D160">
            <v>0</v>
          </cell>
        </row>
        <row r="161">
          <cell r="D161">
            <v>3413151</v>
          </cell>
          <cell r="E161">
            <v>3413151</v>
          </cell>
          <cell r="F161" t="str">
            <v>PS</v>
          </cell>
          <cell r="G161" t="str">
            <v>JM-722</v>
          </cell>
        </row>
        <row r="162">
          <cell r="D162">
            <v>3413005</v>
          </cell>
          <cell r="E162">
            <v>3413005</v>
          </cell>
        </row>
        <row r="163">
          <cell r="D163">
            <v>3413003</v>
          </cell>
          <cell r="E163">
            <v>3413003</v>
          </cell>
          <cell r="F163" t="str">
            <v>HIPS</v>
          </cell>
          <cell r="G163" t="str">
            <v>HIPS(425TVL)</v>
          </cell>
        </row>
        <row r="164">
          <cell r="D164">
            <v>3413022</v>
          </cell>
          <cell r="E164" t="str">
            <v>3413022</v>
          </cell>
          <cell r="F164" t="str">
            <v>HIPS</v>
          </cell>
          <cell r="G164" t="str">
            <v>H-6161DM</v>
          </cell>
        </row>
        <row r="165">
          <cell r="D165">
            <v>3413002</v>
          </cell>
          <cell r="E165">
            <v>3413002</v>
          </cell>
          <cell r="F165" t="str">
            <v>HIPS</v>
          </cell>
          <cell r="G165" t="str">
            <v>HIPS(425TV)</v>
          </cell>
        </row>
        <row r="166">
          <cell r="D166">
            <v>3413221</v>
          </cell>
          <cell r="E166" t="str">
            <v>3413221</v>
          </cell>
          <cell r="F166" t="str">
            <v>GPPS</v>
          </cell>
          <cell r="G166" t="str">
            <v>G-1160G</v>
          </cell>
        </row>
        <row r="167">
          <cell r="D167">
            <v>3413021</v>
          </cell>
          <cell r="E167">
            <v>3413021</v>
          </cell>
          <cell r="F167" t="str">
            <v>GPPS</v>
          </cell>
          <cell r="G167" t="str">
            <v>GP150K</v>
          </cell>
        </row>
        <row r="168">
          <cell r="D168">
            <v>3413008</v>
          </cell>
          <cell r="E168">
            <v>3413008</v>
          </cell>
          <cell r="F168" t="str">
            <v>HIPS</v>
          </cell>
          <cell r="G168" t="str">
            <v>HIPS(H835)</v>
          </cell>
        </row>
        <row r="169">
          <cell r="D169">
            <v>3413007</v>
          </cell>
          <cell r="E169">
            <v>3413007</v>
          </cell>
          <cell r="F169" t="str">
            <v>HIPS</v>
          </cell>
          <cell r="G169" t="str">
            <v>HIPS(425E)</v>
          </cell>
        </row>
        <row r="170">
          <cell r="D170">
            <v>0</v>
          </cell>
        </row>
        <row r="171">
          <cell r="D171">
            <v>0</v>
          </cell>
        </row>
        <row r="172">
          <cell r="D172">
            <v>3499005</v>
          </cell>
          <cell r="E172">
            <v>3499005</v>
          </cell>
        </row>
        <row r="173">
          <cell r="D173">
            <v>3413107</v>
          </cell>
          <cell r="E173">
            <v>3413107</v>
          </cell>
          <cell r="F173" t="str">
            <v>PS</v>
          </cell>
          <cell r="G173" t="str">
            <v>T-7500S</v>
          </cell>
        </row>
        <row r="174">
          <cell r="D174">
            <v>3413201</v>
          </cell>
          <cell r="E174">
            <v>3413201</v>
          </cell>
          <cell r="F174" t="str">
            <v>M/B</v>
          </cell>
          <cell r="G174" t="str">
            <v>802H</v>
          </cell>
        </row>
        <row r="175">
          <cell r="D175">
            <v>3429106</v>
          </cell>
          <cell r="E175">
            <v>3429106</v>
          </cell>
          <cell r="F175" t="str">
            <v>(코팅액)PEDOT</v>
          </cell>
          <cell r="G175" t="str">
            <v>G6</v>
          </cell>
        </row>
        <row r="176">
          <cell r="D176">
            <v>3413351</v>
          </cell>
          <cell r="E176">
            <v>3413351</v>
          </cell>
          <cell r="F176" t="str">
            <v>PS</v>
          </cell>
          <cell r="G176" t="str">
            <v>PS&lt;B2&gt;</v>
          </cell>
        </row>
        <row r="177">
          <cell r="D177">
            <v>3413371</v>
          </cell>
          <cell r="E177">
            <v>3413371</v>
          </cell>
          <cell r="F177" t="str">
            <v>PS</v>
          </cell>
          <cell r="G177" t="str">
            <v>PS&lt;S1&gt;</v>
          </cell>
        </row>
        <row r="178">
          <cell r="D178">
            <v>3413361</v>
          </cell>
          <cell r="E178">
            <v>3413361</v>
          </cell>
          <cell r="F178" t="str">
            <v>PS</v>
          </cell>
          <cell r="G178" t="str">
            <v>PS&lt;신B3&gt;</v>
          </cell>
        </row>
        <row r="179">
          <cell r="D179">
            <v>3413381</v>
          </cell>
          <cell r="E179">
            <v>3413381</v>
          </cell>
        </row>
        <row r="180">
          <cell r="D180">
            <v>3413301</v>
          </cell>
          <cell r="E180">
            <v>3413301</v>
          </cell>
          <cell r="F180" t="str">
            <v>PS</v>
          </cell>
          <cell r="G180" t="str">
            <v>PS&lt;신B&gt;A1</v>
          </cell>
        </row>
        <row r="181">
          <cell r="D181">
            <v>3413303</v>
          </cell>
          <cell r="E181">
            <v>3413303</v>
          </cell>
          <cell r="F181" t="str">
            <v>PS</v>
          </cell>
          <cell r="G181" t="str">
            <v>PS&lt;신B&gt;C1</v>
          </cell>
        </row>
        <row r="182">
          <cell r="D182">
            <v>3413305</v>
          </cell>
          <cell r="E182">
            <v>3413305</v>
          </cell>
          <cell r="F182" t="str">
            <v>PS</v>
          </cell>
          <cell r="G182" t="str">
            <v>PS&lt;신B&gt;B1</v>
          </cell>
        </row>
        <row r="183">
          <cell r="D183">
            <v>3413304</v>
          </cell>
          <cell r="E183">
            <v>3413304</v>
          </cell>
          <cell r="F183" t="str">
            <v>PS</v>
          </cell>
          <cell r="G183" t="str">
            <v>PS&lt;신B&gt;C2</v>
          </cell>
        </row>
        <row r="184">
          <cell r="D184">
            <v>3413306</v>
          </cell>
          <cell r="E184">
            <v>3413306</v>
          </cell>
          <cell r="F184" t="str">
            <v>PS</v>
          </cell>
          <cell r="G184" t="str">
            <v>PS&lt;신B&gt;미색</v>
          </cell>
        </row>
        <row r="185">
          <cell r="D185">
            <v>3404401</v>
          </cell>
          <cell r="E185">
            <v>3404401</v>
          </cell>
          <cell r="F185" t="str">
            <v>PSU</v>
          </cell>
          <cell r="G185" t="str">
            <v>PSU(신B)</v>
          </cell>
        </row>
        <row r="186">
          <cell r="D186">
            <v>3404402</v>
          </cell>
          <cell r="E186">
            <v>3404402</v>
          </cell>
          <cell r="F186" t="str">
            <v>PSU</v>
          </cell>
          <cell r="G186" t="str">
            <v>PSU(신B)PELLET</v>
          </cell>
        </row>
        <row r="187">
          <cell r="D187">
            <v>3413307</v>
          </cell>
          <cell r="E187">
            <v>3413307</v>
          </cell>
        </row>
        <row r="188">
          <cell r="D188">
            <v>3429020</v>
          </cell>
          <cell r="E188">
            <v>3429020</v>
          </cell>
          <cell r="F188" t="str">
            <v>(코팅)슬립제</v>
          </cell>
          <cell r="G188" t="str">
            <v>MODAREZ K-SL107</v>
          </cell>
        </row>
        <row r="189">
          <cell r="D189">
            <v>3479005</v>
          </cell>
          <cell r="E189">
            <v>3479005</v>
          </cell>
          <cell r="F189" t="str">
            <v>상용화제</v>
          </cell>
          <cell r="G189" t="str">
            <v>SAM-020</v>
          </cell>
        </row>
        <row r="190">
          <cell r="D190">
            <v>3479001</v>
          </cell>
          <cell r="E190">
            <v>3479001</v>
          </cell>
        </row>
        <row r="191">
          <cell r="D191">
            <v>3416001</v>
          </cell>
          <cell r="E191">
            <v>3416001</v>
          </cell>
          <cell r="F191" t="str">
            <v>EMA</v>
          </cell>
          <cell r="G191" t="str">
            <v>1330AC</v>
          </cell>
        </row>
        <row r="192">
          <cell r="D192">
            <v>3414064</v>
          </cell>
          <cell r="E192">
            <v>3414064</v>
          </cell>
        </row>
        <row r="193">
          <cell r="D193">
            <v>3414086</v>
          </cell>
          <cell r="E193">
            <v>3414086</v>
          </cell>
          <cell r="F193" t="str">
            <v>SEBS</v>
          </cell>
          <cell r="G193" t="str">
            <v>YJ-5085AKG</v>
          </cell>
        </row>
        <row r="194">
          <cell r="D194">
            <v>3414085</v>
          </cell>
          <cell r="E194">
            <v>3414085</v>
          </cell>
          <cell r="F194" t="str">
            <v>SEBS</v>
          </cell>
          <cell r="G194" t="str">
            <v>YJ-5085AN</v>
          </cell>
        </row>
        <row r="195">
          <cell r="D195">
            <v>3414117</v>
          </cell>
          <cell r="E195">
            <v>3414117</v>
          </cell>
          <cell r="F195" t="str">
            <v>SEBS</v>
          </cell>
          <cell r="G195" t="str">
            <v>LCY7550</v>
          </cell>
        </row>
        <row r="196">
          <cell r="D196">
            <v>3414101</v>
          </cell>
          <cell r="E196">
            <v>3414101</v>
          </cell>
          <cell r="F196" t="str">
            <v>SEBS</v>
          </cell>
          <cell r="G196" t="str">
            <v>TSRC 6152</v>
          </cell>
        </row>
        <row r="197">
          <cell r="D197">
            <v>3415113</v>
          </cell>
          <cell r="E197">
            <v>3415113</v>
          </cell>
        </row>
        <row r="198">
          <cell r="D198">
            <v>3415114</v>
          </cell>
          <cell r="E198">
            <v>3415114</v>
          </cell>
          <cell r="F198" t="str">
            <v>SBS</v>
          </cell>
          <cell r="G198" t="str">
            <v>LCY3536</v>
          </cell>
        </row>
        <row r="199">
          <cell r="D199">
            <v>3414121</v>
          </cell>
          <cell r="E199">
            <v>3414121</v>
          </cell>
          <cell r="F199" t="str">
            <v>SBS</v>
          </cell>
          <cell r="G199" t="str">
            <v>KTR-201</v>
          </cell>
        </row>
        <row r="200">
          <cell r="D200">
            <v>3414131</v>
          </cell>
          <cell r="E200">
            <v>3414131</v>
          </cell>
        </row>
        <row r="201">
          <cell r="D201">
            <v>3479007</v>
          </cell>
          <cell r="E201">
            <v>3479007</v>
          </cell>
          <cell r="F201" t="str">
            <v>PDMS</v>
          </cell>
          <cell r="G201" t="str">
            <v>SLIP 230H</v>
          </cell>
        </row>
        <row r="202">
          <cell r="D202">
            <v>3499006</v>
          </cell>
          <cell r="E202">
            <v>3499006</v>
          </cell>
        </row>
        <row r="203">
          <cell r="D203">
            <v>3499007</v>
          </cell>
          <cell r="E203">
            <v>3499007</v>
          </cell>
        </row>
        <row r="204">
          <cell r="D204">
            <v>3409401</v>
          </cell>
          <cell r="E204">
            <v>3409401</v>
          </cell>
        </row>
        <row r="205">
          <cell r="D205">
            <v>3408161</v>
          </cell>
          <cell r="E205">
            <v>3408161</v>
          </cell>
          <cell r="F205" t="str">
            <v>PPA</v>
          </cell>
          <cell r="G205" t="str">
            <v>N-100</v>
          </cell>
        </row>
        <row r="206">
          <cell r="D206">
            <v>3408133</v>
          </cell>
          <cell r="E206">
            <v>3408133</v>
          </cell>
        </row>
        <row r="207">
          <cell r="D207">
            <v>3416021</v>
          </cell>
          <cell r="E207">
            <v>3416021</v>
          </cell>
          <cell r="F207" t="str">
            <v>충격보강제</v>
          </cell>
          <cell r="G207" t="str">
            <v>VM-6202</v>
          </cell>
        </row>
        <row r="208">
          <cell r="D208">
            <v>3423001</v>
          </cell>
          <cell r="E208">
            <v>3423001</v>
          </cell>
          <cell r="F208" t="str">
            <v>PPS</v>
          </cell>
          <cell r="G208" t="str">
            <v>1150C</v>
          </cell>
        </row>
        <row r="209">
          <cell r="D209">
            <v>3460002</v>
          </cell>
          <cell r="E209">
            <v>3460002</v>
          </cell>
          <cell r="F209" t="str">
            <v>PTFE</v>
          </cell>
          <cell r="G209" t="str">
            <v>PTFE(TP202)</v>
          </cell>
        </row>
        <row r="210">
          <cell r="D210">
            <v>3460001</v>
          </cell>
          <cell r="E210">
            <v>3460001</v>
          </cell>
          <cell r="F210" t="str">
            <v>PTFE</v>
          </cell>
          <cell r="G210" t="str">
            <v>PTFE37E</v>
          </cell>
        </row>
        <row r="211">
          <cell r="D211">
            <v>3460003</v>
          </cell>
          <cell r="E211" t="str">
            <v>3460003</v>
          </cell>
          <cell r="F211" t="str">
            <v>PTFE</v>
          </cell>
          <cell r="G211" t="str">
            <v>PTFE NSF-25</v>
          </cell>
        </row>
        <row r="212">
          <cell r="D212">
            <v>3499008</v>
          </cell>
          <cell r="E212">
            <v>3499008</v>
          </cell>
        </row>
        <row r="213">
          <cell r="D213">
            <v>3451004</v>
          </cell>
          <cell r="E213">
            <v>3451004</v>
          </cell>
          <cell r="F213" t="str">
            <v>산화방지제</v>
          </cell>
          <cell r="G213" t="str">
            <v>Mianto S(DSTDP)</v>
          </cell>
        </row>
        <row r="214">
          <cell r="D214">
            <v>3429101</v>
          </cell>
          <cell r="E214">
            <v>3429101</v>
          </cell>
        </row>
        <row r="215">
          <cell r="D215">
            <v>3416022</v>
          </cell>
          <cell r="E215">
            <v>3416022</v>
          </cell>
        </row>
        <row r="216">
          <cell r="D216">
            <v>3414103</v>
          </cell>
          <cell r="E216" t="str">
            <v>3414103</v>
          </cell>
          <cell r="F216" t="str">
            <v>SBS</v>
          </cell>
          <cell r="G216" t="str">
            <v>YH791E</v>
          </cell>
        </row>
        <row r="217">
          <cell r="D217">
            <v>3451005</v>
          </cell>
          <cell r="E217">
            <v>3451005</v>
          </cell>
          <cell r="F217" t="str">
            <v>A/O</v>
          </cell>
          <cell r="G217" t="str">
            <v>ANOX 20</v>
          </cell>
        </row>
        <row r="218">
          <cell r="D218">
            <v>3451003</v>
          </cell>
          <cell r="E218">
            <v>3451003</v>
          </cell>
          <cell r="F218" t="str">
            <v>A/O</v>
          </cell>
          <cell r="G218" t="str">
            <v>A/O-50</v>
          </cell>
        </row>
        <row r="219">
          <cell r="D219">
            <v>3451051</v>
          </cell>
          <cell r="E219" t="str">
            <v>3451051</v>
          </cell>
          <cell r="F219" t="str">
            <v>A/O</v>
          </cell>
          <cell r="G219" t="str">
            <v>Songnox1010PW</v>
          </cell>
        </row>
        <row r="220">
          <cell r="D220">
            <v>3451006</v>
          </cell>
          <cell r="E220">
            <v>3451006</v>
          </cell>
          <cell r="F220" t="str">
            <v>A/O</v>
          </cell>
          <cell r="G220" t="str">
            <v>A/O-60</v>
          </cell>
        </row>
        <row r="221">
          <cell r="D221">
            <v>3451052</v>
          </cell>
          <cell r="E221">
            <v>3451052</v>
          </cell>
          <cell r="F221" t="str">
            <v>A/O</v>
          </cell>
          <cell r="G221" t="str">
            <v>Songnox1680PW</v>
          </cell>
        </row>
        <row r="222">
          <cell r="D222">
            <v>3452001</v>
          </cell>
          <cell r="E222">
            <v>3452001</v>
          </cell>
        </row>
        <row r="223">
          <cell r="D223">
            <v>3479207</v>
          </cell>
          <cell r="E223">
            <v>3479207</v>
          </cell>
          <cell r="F223" t="str">
            <v>염료</v>
          </cell>
          <cell r="G223" t="str">
            <v>BLUE 2B(BLUE 13)</v>
          </cell>
        </row>
        <row r="224">
          <cell r="D224">
            <v>3452003</v>
          </cell>
          <cell r="E224">
            <v>3452003</v>
          </cell>
          <cell r="F224" t="str">
            <v>염료</v>
          </cell>
          <cell r="G224" t="str">
            <v>RED BB</v>
          </cell>
        </row>
        <row r="225">
          <cell r="D225">
            <v>3452004</v>
          </cell>
          <cell r="E225">
            <v>3452004</v>
          </cell>
          <cell r="F225" t="str">
            <v>염료</v>
          </cell>
          <cell r="G225" t="str">
            <v>RED G</v>
          </cell>
        </row>
        <row r="226">
          <cell r="D226">
            <v>3452005</v>
          </cell>
          <cell r="E226">
            <v>3452005</v>
          </cell>
          <cell r="F226" t="str">
            <v>염료</v>
          </cell>
          <cell r="G226" t="str">
            <v>VIOLET-59</v>
          </cell>
        </row>
        <row r="227">
          <cell r="D227">
            <v>3452006</v>
          </cell>
          <cell r="E227">
            <v>3452006</v>
          </cell>
          <cell r="F227" t="str">
            <v>염료</v>
          </cell>
          <cell r="G227" t="str">
            <v>YELLOW2G(114)</v>
          </cell>
        </row>
        <row r="228">
          <cell r="D228">
            <v>3452007</v>
          </cell>
          <cell r="E228">
            <v>3452007</v>
          </cell>
          <cell r="F228" t="str">
            <v>염료</v>
          </cell>
          <cell r="G228" t="str">
            <v>P.YELLOW K1800</v>
          </cell>
        </row>
        <row r="229">
          <cell r="D229">
            <v>3452008</v>
          </cell>
          <cell r="E229">
            <v>3452008</v>
          </cell>
          <cell r="F229" t="str">
            <v>염료</v>
          </cell>
          <cell r="G229" t="str">
            <v>BLUE 97</v>
          </cell>
        </row>
        <row r="230">
          <cell r="D230">
            <v>0</v>
          </cell>
        </row>
        <row r="231">
          <cell r="D231">
            <v>0</v>
          </cell>
        </row>
        <row r="232">
          <cell r="D232">
            <v>0</v>
          </cell>
        </row>
        <row r="233">
          <cell r="D233">
            <v>0</v>
          </cell>
        </row>
        <row r="234">
          <cell r="D234">
            <v>3455033</v>
          </cell>
          <cell r="E234">
            <v>3455033</v>
          </cell>
          <cell r="F234" t="str">
            <v>TALC</v>
          </cell>
          <cell r="G234" t="str">
            <v>ISNP-400(고백색)</v>
          </cell>
        </row>
        <row r="235">
          <cell r="D235">
            <v>3453001</v>
          </cell>
          <cell r="E235">
            <v>3453001</v>
          </cell>
          <cell r="F235" t="str">
            <v>무기안료</v>
          </cell>
          <cell r="G235" t="str">
            <v>GREEN V9412(50)</v>
          </cell>
        </row>
        <row r="236">
          <cell r="D236">
            <v>3453002</v>
          </cell>
          <cell r="E236">
            <v>3453002</v>
          </cell>
          <cell r="F236" t="str">
            <v>무기안료</v>
          </cell>
          <cell r="G236" t="str">
            <v>YELLOW V1633(TY-300)</v>
          </cell>
        </row>
        <row r="237">
          <cell r="D237">
            <v>3453003</v>
          </cell>
          <cell r="E237">
            <v>3453003</v>
          </cell>
          <cell r="F237" t="str">
            <v>무기안료</v>
          </cell>
          <cell r="G237" t="str">
            <v>BLUE 28</v>
          </cell>
        </row>
        <row r="238">
          <cell r="D238">
            <v>3455031</v>
          </cell>
          <cell r="E238">
            <v>3455031</v>
          </cell>
          <cell r="F238" t="str">
            <v>TALC</v>
          </cell>
          <cell r="G238" t="str">
            <v>ISH-A325</v>
          </cell>
        </row>
        <row r="239">
          <cell r="D239">
            <v>3461001</v>
          </cell>
          <cell r="E239">
            <v>3461001</v>
          </cell>
          <cell r="F239" t="str">
            <v>TiO2</v>
          </cell>
          <cell r="G239" t="str">
            <v>R-902</v>
          </cell>
        </row>
        <row r="240">
          <cell r="D240">
            <v>3455001</v>
          </cell>
          <cell r="E240">
            <v>3455001</v>
          </cell>
        </row>
        <row r="241">
          <cell r="D241">
            <v>3479045</v>
          </cell>
          <cell r="E241">
            <v>3479045</v>
          </cell>
          <cell r="F241" t="str">
            <v>징크</v>
          </cell>
          <cell r="G241" t="str">
            <v>ZN-ST(SZ-210)</v>
          </cell>
        </row>
        <row r="242">
          <cell r="D242">
            <v>3479046</v>
          </cell>
          <cell r="E242">
            <v>3479046</v>
          </cell>
          <cell r="F242" t="str">
            <v>ZnO</v>
          </cell>
          <cell r="G242" t="str">
            <v>KS 1호</v>
          </cell>
        </row>
        <row r="243">
          <cell r="D243">
            <v>3479011</v>
          </cell>
          <cell r="E243">
            <v>3479011</v>
          </cell>
        </row>
        <row r="244">
          <cell r="D244">
            <v>3454001</v>
          </cell>
          <cell r="E244">
            <v>3454001</v>
          </cell>
        </row>
        <row r="245">
          <cell r="D245">
            <v>3479203</v>
          </cell>
          <cell r="E245">
            <v>3479203</v>
          </cell>
        </row>
        <row r="246">
          <cell r="D246">
            <v>3455002</v>
          </cell>
          <cell r="E246">
            <v>3455002</v>
          </cell>
          <cell r="F246" t="str">
            <v>TALC</v>
          </cell>
          <cell r="G246" t="str">
            <v>KC-2000</v>
          </cell>
        </row>
        <row r="247">
          <cell r="D247">
            <v>3455021</v>
          </cell>
          <cell r="E247">
            <v>3455021</v>
          </cell>
          <cell r="F247" t="str">
            <v>TALC</v>
          </cell>
          <cell r="G247" t="str">
            <v>ULTRA TALC 609</v>
          </cell>
        </row>
        <row r="248">
          <cell r="D248">
            <v>3454002</v>
          </cell>
          <cell r="E248">
            <v>3454002</v>
          </cell>
          <cell r="F248" t="str">
            <v>MICA</v>
          </cell>
          <cell r="G248" t="str">
            <v>MICA PW80</v>
          </cell>
        </row>
        <row r="249">
          <cell r="D249">
            <v>3454003</v>
          </cell>
          <cell r="E249">
            <v>3454003</v>
          </cell>
        </row>
        <row r="250">
          <cell r="D250">
            <v>3462001</v>
          </cell>
          <cell r="E250">
            <v>3462001</v>
          </cell>
          <cell r="F250" t="str">
            <v>TALC</v>
          </cell>
          <cell r="G250" t="str">
            <v>Wollastonite XA-600</v>
          </cell>
        </row>
        <row r="251">
          <cell r="D251">
            <v>3455003</v>
          </cell>
          <cell r="E251">
            <v>3455003</v>
          </cell>
          <cell r="F251" t="str">
            <v>TALC</v>
          </cell>
          <cell r="G251" t="str">
            <v>FINE TALC KC-5000L</v>
          </cell>
        </row>
        <row r="252">
          <cell r="D252">
            <v>3479021</v>
          </cell>
          <cell r="E252">
            <v>3479021</v>
          </cell>
          <cell r="F252" t="str">
            <v>LOXIOL</v>
          </cell>
          <cell r="G252" t="str">
            <v>VPG861</v>
          </cell>
        </row>
        <row r="253">
          <cell r="D253">
            <v>3463001</v>
          </cell>
          <cell r="E253">
            <v>3463001</v>
          </cell>
        </row>
        <row r="254">
          <cell r="D254">
            <v>3479022</v>
          </cell>
          <cell r="E254">
            <v>3479022</v>
          </cell>
          <cell r="F254" t="str">
            <v>LOXIOL</v>
          </cell>
          <cell r="G254" t="str">
            <v>P861/3.5</v>
          </cell>
        </row>
        <row r="255">
          <cell r="D255">
            <v>3479023</v>
          </cell>
          <cell r="E255">
            <v>3479023</v>
          </cell>
          <cell r="F255" t="str">
            <v>PA</v>
          </cell>
          <cell r="G255" t="str">
            <v>P-130</v>
          </cell>
        </row>
        <row r="256">
          <cell r="D256">
            <v>3453004</v>
          </cell>
          <cell r="E256">
            <v>3453004</v>
          </cell>
          <cell r="F256" t="str">
            <v>무기안료</v>
          </cell>
          <cell r="G256" t="str">
            <v>TY-70S</v>
          </cell>
        </row>
        <row r="257">
          <cell r="D257">
            <v>0</v>
          </cell>
        </row>
        <row r="258">
          <cell r="D258">
            <v>0</v>
          </cell>
        </row>
        <row r="259">
          <cell r="D259">
            <v>0</v>
          </cell>
        </row>
        <row r="260">
          <cell r="D260">
            <v>3456011</v>
          </cell>
          <cell r="E260">
            <v>3456011</v>
          </cell>
        </row>
        <row r="261">
          <cell r="D261">
            <v>0</v>
          </cell>
        </row>
        <row r="262">
          <cell r="D262">
            <v>3456021</v>
          </cell>
          <cell r="E262">
            <v>3456021</v>
          </cell>
        </row>
        <row r="263">
          <cell r="D263">
            <v>0</v>
          </cell>
        </row>
        <row r="264">
          <cell r="D264">
            <v>3456031</v>
          </cell>
          <cell r="E264">
            <v>3456031</v>
          </cell>
          <cell r="F264" t="str">
            <v>C/B</v>
          </cell>
          <cell r="G264" t="str">
            <v>250G</v>
          </cell>
        </row>
        <row r="265">
          <cell r="D265">
            <v>3456002</v>
          </cell>
          <cell r="E265">
            <v>3456002</v>
          </cell>
          <cell r="F265" t="str">
            <v>C/B</v>
          </cell>
          <cell r="G265" t="str">
            <v>CD7067</v>
          </cell>
        </row>
        <row r="266">
          <cell r="D266">
            <v>0</v>
          </cell>
        </row>
        <row r="267">
          <cell r="D267">
            <v>3456003</v>
          </cell>
          <cell r="E267">
            <v>3456003</v>
          </cell>
          <cell r="F267" t="str">
            <v>C/B</v>
          </cell>
          <cell r="G267" t="str">
            <v>K-Ultra</v>
          </cell>
        </row>
        <row r="268">
          <cell r="D268">
            <v>3456000</v>
          </cell>
          <cell r="E268">
            <v>3456000</v>
          </cell>
          <cell r="F268" t="str">
            <v>C/B</v>
          </cell>
          <cell r="G268" t="str">
            <v>REVEN UV ULTRA</v>
          </cell>
        </row>
        <row r="269">
          <cell r="D269">
            <v>3456001</v>
          </cell>
          <cell r="E269">
            <v>3456001</v>
          </cell>
          <cell r="F269" t="str">
            <v>C/B</v>
          </cell>
          <cell r="G269" t="str">
            <v>CD7054</v>
          </cell>
        </row>
        <row r="270">
          <cell r="D270">
            <v>3456004</v>
          </cell>
          <cell r="E270">
            <v>3456004</v>
          </cell>
          <cell r="F270" t="str">
            <v>C/B</v>
          </cell>
          <cell r="G270" t="str">
            <v>CD7055U</v>
          </cell>
        </row>
        <row r="271">
          <cell r="D271">
            <v>3456005</v>
          </cell>
          <cell r="E271" t="str">
            <v>3456005</v>
          </cell>
          <cell r="F271" t="str">
            <v>C/B</v>
          </cell>
          <cell r="G271" t="str">
            <v>CD7097</v>
          </cell>
        </row>
        <row r="272">
          <cell r="D272">
            <v>0</v>
          </cell>
        </row>
        <row r="273">
          <cell r="D273">
            <v>0</v>
          </cell>
        </row>
        <row r="274">
          <cell r="D274">
            <v>0</v>
          </cell>
        </row>
        <row r="275">
          <cell r="D275">
            <v>0</v>
          </cell>
        </row>
        <row r="276">
          <cell r="D276">
            <v>0</v>
          </cell>
        </row>
        <row r="277">
          <cell r="D277">
            <v>0</v>
          </cell>
        </row>
        <row r="278">
          <cell r="D278">
            <v>3457061</v>
          </cell>
          <cell r="E278">
            <v>3457061</v>
          </cell>
          <cell r="F278" t="str">
            <v xml:space="preserve">C/F </v>
          </cell>
          <cell r="G278" t="str">
            <v>C/F MLD 300 G U1(PROCOTEX)</v>
          </cell>
        </row>
        <row r="279">
          <cell r="D279">
            <v>3457017</v>
          </cell>
          <cell r="E279">
            <v>3457017</v>
          </cell>
        </row>
        <row r="280">
          <cell r="D280">
            <v>3457002</v>
          </cell>
          <cell r="E280">
            <v>3457002</v>
          </cell>
        </row>
        <row r="281">
          <cell r="D281">
            <v>3457011</v>
          </cell>
          <cell r="E281">
            <v>3457011</v>
          </cell>
        </row>
        <row r="282">
          <cell r="D282">
            <v>3457015</v>
          </cell>
          <cell r="E282">
            <v>3457015</v>
          </cell>
          <cell r="F282" t="str">
            <v xml:space="preserve">C/F </v>
          </cell>
          <cell r="G282" t="str">
            <v>RCA(ZOLTEK)</v>
          </cell>
        </row>
        <row r="283">
          <cell r="D283">
            <v>3457031</v>
          </cell>
          <cell r="E283">
            <v>3457031</v>
          </cell>
          <cell r="F283" t="str">
            <v>C/F</v>
          </cell>
          <cell r="G283" t="str">
            <v>C/F CT+SM45D-06-50</v>
          </cell>
        </row>
        <row r="284">
          <cell r="D284">
            <v>3457041</v>
          </cell>
          <cell r="E284">
            <v>3457041</v>
          </cell>
          <cell r="F284" t="str">
            <v xml:space="preserve">C/F </v>
          </cell>
          <cell r="G284" t="str">
            <v>C/F KRC-U12(TEIJIN)</v>
          </cell>
        </row>
        <row r="285">
          <cell r="D285">
            <v>3457051</v>
          </cell>
          <cell r="E285">
            <v>3457051</v>
          </cell>
          <cell r="F285" t="str">
            <v xml:space="preserve">C/F </v>
          </cell>
          <cell r="G285" t="str">
            <v>C/F RVD</v>
          </cell>
        </row>
        <row r="286">
          <cell r="D286">
            <v>3457053</v>
          </cell>
          <cell r="E286">
            <v>3457053</v>
          </cell>
          <cell r="F286" t="str">
            <v xml:space="preserve">C/F </v>
          </cell>
          <cell r="G286" t="str">
            <v>C/F 국내(용주)</v>
          </cell>
        </row>
        <row r="287">
          <cell r="D287">
            <v>3457001</v>
          </cell>
          <cell r="E287">
            <v>3457001</v>
          </cell>
          <cell r="F287" t="str">
            <v xml:space="preserve">C/F </v>
          </cell>
          <cell r="G287" t="str">
            <v>C/F 통합품</v>
          </cell>
        </row>
        <row r="288">
          <cell r="D288">
            <v>3457012</v>
          </cell>
          <cell r="E288">
            <v>3457012</v>
          </cell>
          <cell r="F288" t="str">
            <v xml:space="preserve">C/F </v>
          </cell>
          <cell r="G288" t="str">
            <v>ACECA-CBT PU</v>
          </cell>
        </row>
        <row r="289">
          <cell r="D289">
            <v>0</v>
          </cell>
        </row>
        <row r="290">
          <cell r="D290">
            <v>0</v>
          </cell>
        </row>
        <row r="291">
          <cell r="D291">
            <v>0</v>
          </cell>
        </row>
        <row r="292">
          <cell r="D292">
            <v>3457091</v>
          </cell>
          <cell r="E292">
            <v>3457091</v>
          </cell>
          <cell r="F292" t="str">
            <v>NiCF</v>
          </cell>
          <cell r="G292" t="str">
            <v>HT C923</v>
          </cell>
        </row>
        <row r="293">
          <cell r="D293">
            <v>0</v>
          </cell>
        </row>
        <row r="294">
          <cell r="D294">
            <v>3464001</v>
          </cell>
          <cell r="E294">
            <v>3464001</v>
          </cell>
          <cell r="F294" t="str">
            <v>CNT</v>
          </cell>
          <cell r="G294" t="str">
            <v>CM-150</v>
          </cell>
        </row>
        <row r="295">
          <cell r="D295">
            <v>3458010</v>
          </cell>
          <cell r="E295">
            <v>3458010</v>
          </cell>
        </row>
        <row r="296">
          <cell r="D296">
            <v>0</v>
          </cell>
        </row>
        <row r="297">
          <cell r="D297">
            <v>3458007</v>
          </cell>
          <cell r="E297">
            <v>3458007</v>
          </cell>
        </row>
        <row r="298">
          <cell r="D298">
            <v>3458003</v>
          </cell>
          <cell r="E298">
            <v>3458003</v>
          </cell>
        </row>
        <row r="299">
          <cell r="D299">
            <v>3458008</v>
          </cell>
          <cell r="E299">
            <v>3458008</v>
          </cell>
          <cell r="F299" t="str">
            <v>IDP</v>
          </cell>
          <cell r="G299" t="str">
            <v>PELECTRON AS</v>
          </cell>
        </row>
        <row r="300">
          <cell r="D300">
            <v>3458002</v>
          </cell>
          <cell r="E300">
            <v>3458002</v>
          </cell>
          <cell r="F300" t="str">
            <v>IDP</v>
          </cell>
          <cell r="G300" t="str">
            <v>PELESTAT 300</v>
          </cell>
        </row>
        <row r="301">
          <cell r="D301">
            <v>0</v>
          </cell>
        </row>
        <row r="302">
          <cell r="D302">
            <v>3458001</v>
          </cell>
          <cell r="E302">
            <v>3458001</v>
          </cell>
          <cell r="F302" t="str">
            <v>IDP</v>
          </cell>
          <cell r="G302" t="str">
            <v>PELESTAT 6500</v>
          </cell>
        </row>
        <row r="303">
          <cell r="D303">
            <v>3458004</v>
          </cell>
          <cell r="E303">
            <v>3458004</v>
          </cell>
        </row>
        <row r="304">
          <cell r="D304">
            <v>3458005</v>
          </cell>
          <cell r="E304">
            <v>3458005</v>
          </cell>
        </row>
        <row r="305">
          <cell r="D305">
            <v>3458006</v>
          </cell>
          <cell r="E305">
            <v>3458006</v>
          </cell>
        </row>
        <row r="306">
          <cell r="D306">
            <v>0</v>
          </cell>
        </row>
        <row r="307">
          <cell r="D307">
            <v>0</v>
          </cell>
        </row>
        <row r="308">
          <cell r="D308">
            <v>3458041</v>
          </cell>
          <cell r="E308">
            <v>3458041</v>
          </cell>
        </row>
        <row r="309">
          <cell r="D309">
            <v>3458031</v>
          </cell>
          <cell r="E309">
            <v>3458031</v>
          </cell>
          <cell r="F309" t="str">
            <v>IDP</v>
          </cell>
          <cell r="G309" t="str">
            <v>MH2030</v>
          </cell>
        </row>
        <row r="310">
          <cell r="D310">
            <v>3458033</v>
          </cell>
          <cell r="E310">
            <v>3458033</v>
          </cell>
        </row>
        <row r="311">
          <cell r="D311">
            <v>3458009</v>
          </cell>
          <cell r="E311">
            <v>3458009</v>
          </cell>
        </row>
        <row r="312">
          <cell r="D312">
            <v>3458043</v>
          </cell>
          <cell r="E312">
            <v>3458043</v>
          </cell>
        </row>
        <row r="313">
          <cell r="D313">
            <v>3465001</v>
          </cell>
          <cell r="E313">
            <v>3465001</v>
          </cell>
          <cell r="F313" t="str">
            <v>LCP</v>
          </cell>
          <cell r="G313" t="str">
            <v>2030G-BLACK(재생)</v>
          </cell>
        </row>
        <row r="314">
          <cell r="D314">
            <v>3465011</v>
          </cell>
          <cell r="E314">
            <v>3465011</v>
          </cell>
        </row>
        <row r="315">
          <cell r="D315">
            <v>3465021</v>
          </cell>
          <cell r="E315">
            <v>3465021</v>
          </cell>
        </row>
        <row r="316">
          <cell r="D316">
            <v>3479041</v>
          </cell>
          <cell r="E316">
            <v>3479041</v>
          </cell>
        </row>
        <row r="317">
          <cell r="D317">
            <v>9999999</v>
          </cell>
          <cell r="E317">
            <v>9999999</v>
          </cell>
          <cell r="F317" t="str">
            <v>지팜</v>
          </cell>
          <cell r="G317" t="str">
            <v>원재료 샘플(SP02-ZA)</v>
          </cell>
        </row>
        <row r="318">
          <cell r="D318">
            <v>3479050</v>
          </cell>
          <cell r="E318">
            <v>3479050</v>
          </cell>
          <cell r="F318" t="str">
            <v>A/O</v>
          </cell>
          <cell r="G318" t="str">
            <v>MICOLIN LAS(미원화학)</v>
          </cell>
        </row>
        <row r="319">
          <cell r="D319">
            <v>3479071</v>
          </cell>
          <cell r="E319">
            <v>3479071</v>
          </cell>
          <cell r="F319" t="str">
            <v>RUBBER</v>
          </cell>
          <cell r="G319" t="str">
            <v>ADFLEX Q100F(RUBBER)</v>
          </cell>
        </row>
        <row r="320">
          <cell r="D320">
            <v>3479070</v>
          </cell>
          <cell r="E320">
            <v>3479070</v>
          </cell>
          <cell r="F320" t="str">
            <v>CaCO3</v>
          </cell>
          <cell r="G320" t="str">
            <v>OMZT</v>
          </cell>
        </row>
        <row r="321">
          <cell r="D321">
            <v>3479069</v>
          </cell>
          <cell r="E321">
            <v>3479069</v>
          </cell>
          <cell r="F321" t="str">
            <v>M/B</v>
          </cell>
          <cell r="G321" t="str">
            <v>PP BLACK MB</v>
          </cell>
        </row>
        <row r="322">
          <cell r="D322">
            <v>3479068</v>
          </cell>
          <cell r="E322">
            <v>3479068</v>
          </cell>
          <cell r="F322" t="str">
            <v>PP</v>
          </cell>
          <cell r="G322" t="str">
            <v>PP Mnipellet(재생)</v>
          </cell>
        </row>
        <row r="323">
          <cell r="D323">
            <v>3459029</v>
          </cell>
          <cell r="E323">
            <v>3459029</v>
          </cell>
          <cell r="F323" t="str">
            <v xml:space="preserve">G/F </v>
          </cell>
          <cell r="G323" t="str">
            <v>116A-3MM</v>
          </cell>
        </row>
        <row r="324">
          <cell r="D324">
            <v>3459031</v>
          </cell>
          <cell r="E324">
            <v>3459031</v>
          </cell>
          <cell r="F324" t="str">
            <v xml:space="preserve">G/F </v>
          </cell>
          <cell r="G324" t="str">
            <v>HP3786 (대만)</v>
          </cell>
        </row>
        <row r="325">
          <cell r="D325">
            <v>3459028</v>
          </cell>
          <cell r="E325">
            <v>3459028</v>
          </cell>
          <cell r="F325" t="str">
            <v xml:space="preserve">G/F </v>
          </cell>
          <cell r="G325" t="str">
            <v>116A-4MM</v>
          </cell>
        </row>
        <row r="326">
          <cell r="D326">
            <v>3479102</v>
          </cell>
          <cell r="E326">
            <v>3479102</v>
          </cell>
        </row>
        <row r="327">
          <cell r="D327">
            <v>3416031</v>
          </cell>
          <cell r="E327">
            <v>3416031</v>
          </cell>
        </row>
        <row r="328">
          <cell r="D328">
            <v>3479105</v>
          </cell>
          <cell r="E328">
            <v>3479105</v>
          </cell>
        </row>
        <row r="329">
          <cell r="D329">
            <v>3479060</v>
          </cell>
          <cell r="E329">
            <v>3479060</v>
          </cell>
          <cell r="F329" t="str">
            <v>Graphite</v>
          </cell>
          <cell r="G329" t="str">
            <v>TIMREX 20X50 97</v>
          </cell>
        </row>
        <row r="330">
          <cell r="D330">
            <v>3459021</v>
          </cell>
          <cell r="E330">
            <v>3459021</v>
          </cell>
          <cell r="F330" t="str">
            <v>G/F</v>
          </cell>
          <cell r="G330" t="str">
            <v>CS04-910 10P</v>
          </cell>
        </row>
        <row r="331">
          <cell r="D331">
            <v>3459012</v>
          </cell>
          <cell r="E331">
            <v>3459012</v>
          </cell>
          <cell r="F331" t="str">
            <v>G/F</v>
          </cell>
          <cell r="G331" t="str">
            <v>T436(태산)</v>
          </cell>
        </row>
        <row r="332">
          <cell r="D332">
            <v>3459011</v>
          </cell>
          <cell r="E332">
            <v>3459011</v>
          </cell>
          <cell r="F332" t="str">
            <v>G/F</v>
          </cell>
          <cell r="G332" t="str">
            <v>T435N(태산)</v>
          </cell>
        </row>
        <row r="333">
          <cell r="D333">
            <v>3459002</v>
          </cell>
          <cell r="E333">
            <v>3459002</v>
          </cell>
          <cell r="F333" t="str">
            <v>G/F</v>
          </cell>
          <cell r="G333" t="str">
            <v>KCC-CS311/395</v>
          </cell>
        </row>
        <row r="334">
          <cell r="D334">
            <v>3459022</v>
          </cell>
          <cell r="E334">
            <v>3459022</v>
          </cell>
          <cell r="F334" t="str">
            <v>G/F</v>
          </cell>
          <cell r="G334" t="str">
            <v>CS 995-10P</v>
          </cell>
        </row>
        <row r="335">
          <cell r="D335">
            <v>3459030</v>
          </cell>
          <cell r="E335">
            <v>3459030</v>
          </cell>
          <cell r="F335" t="str">
            <v>G/F</v>
          </cell>
          <cell r="G335" t="str">
            <v>G/F ECS13-540H (쥬시)</v>
          </cell>
        </row>
        <row r="336">
          <cell r="D336">
            <v>3459032</v>
          </cell>
          <cell r="E336">
            <v>3459032</v>
          </cell>
          <cell r="F336" t="str">
            <v>G/F</v>
          </cell>
          <cell r="G336" t="str">
            <v>국내G/F(NEG,OWENS,KCC)</v>
          </cell>
        </row>
        <row r="337">
          <cell r="D337">
            <v>3479201</v>
          </cell>
          <cell r="E337">
            <v>3479201</v>
          </cell>
          <cell r="F337" t="str">
            <v>CaCO3</v>
          </cell>
          <cell r="G337" t="str">
            <v>CaCO3(옥염화)</v>
          </cell>
        </row>
        <row r="338">
          <cell r="D338">
            <v>3479043</v>
          </cell>
          <cell r="E338">
            <v>3479043</v>
          </cell>
        </row>
        <row r="339">
          <cell r="D339">
            <v>3479109</v>
          </cell>
          <cell r="E339">
            <v>3479109</v>
          </cell>
        </row>
        <row r="340">
          <cell r="D340">
            <v>3499000</v>
          </cell>
          <cell r="E340">
            <v>3499000</v>
          </cell>
          <cell r="F340" t="str">
            <v>불용</v>
          </cell>
          <cell r="G340" t="str">
            <v>불용자재 T-7200A</v>
          </cell>
        </row>
        <row r="341">
          <cell r="D341">
            <v>3499030</v>
          </cell>
          <cell r="E341">
            <v>3499030</v>
          </cell>
          <cell r="F341" t="str">
            <v>불용</v>
          </cell>
          <cell r="G341" t="str">
            <v>YJ-8510(불용)</v>
          </cell>
        </row>
        <row r="342">
          <cell r="D342">
            <v>0</v>
          </cell>
          <cell r="F342" t="str">
            <v>연구+불용</v>
          </cell>
          <cell r="G342" t="str">
            <v>연구+불용</v>
          </cell>
        </row>
        <row r="343">
          <cell r="D343">
            <v>0</v>
          </cell>
        </row>
        <row r="344">
          <cell r="D344">
            <v>0</v>
          </cell>
        </row>
        <row r="345">
          <cell r="D345">
            <v>0</v>
          </cell>
          <cell r="F345" t="str">
            <v>총합계</v>
          </cell>
        </row>
        <row r="346">
          <cell r="D346">
            <v>3413008</v>
          </cell>
          <cell r="E346">
            <v>3413008</v>
          </cell>
          <cell r="F346" t="str">
            <v>HIPS</v>
          </cell>
          <cell r="G346" t="str">
            <v>HIPS(H835)</v>
          </cell>
        </row>
        <row r="347">
          <cell r="D347">
            <v>0</v>
          </cell>
        </row>
        <row r="348">
          <cell r="D348">
            <v>0</v>
          </cell>
        </row>
        <row r="349">
          <cell r="D349">
            <v>0</v>
          </cell>
          <cell r="F349" t="str">
            <v>총합계</v>
          </cell>
        </row>
        <row r="350">
          <cell r="D350">
            <v>0</v>
          </cell>
          <cell r="F350" t="str">
            <v xml:space="preserve">사업장 이동 </v>
          </cell>
          <cell r="G350" t="str">
            <v>HIPS(425TV)</v>
          </cell>
        </row>
        <row r="351">
          <cell r="D351">
            <v>0</v>
          </cell>
          <cell r="F351" t="str">
            <v xml:space="preserve">사업장 이동 </v>
          </cell>
          <cell r="G351" t="str">
            <v>JM-7600BK</v>
          </cell>
        </row>
        <row r="352">
          <cell r="D352">
            <v>0</v>
          </cell>
          <cell r="F352" t="str">
            <v xml:space="preserve">사업장 이동 </v>
          </cell>
          <cell r="G352" t="str">
            <v>802H</v>
          </cell>
        </row>
        <row r="353">
          <cell r="D353">
            <v>0</v>
          </cell>
          <cell r="F353" t="str">
            <v xml:space="preserve">사업장 이동 </v>
          </cell>
          <cell r="G353" t="str">
            <v>LCY3536</v>
          </cell>
        </row>
        <row r="354">
          <cell r="D354">
            <v>0</v>
          </cell>
          <cell r="F354" t="str">
            <v xml:space="preserve">사업장 이동 </v>
          </cell>
          <cell r="G354" t="str">
            <v>MICOLIN LAS</v>
          </cell>
        </row>
        <row r="355">
          <cell r="D355">
            <v>0</v>
          </cell>
          <cell r="F355" t="str">
            <v>이동 수량 차감 합계</v>
          </cell>
        </row>
        <row r="356">
          <cell r="D356">
            <v>3429001</v>
          </cell>
          <cell r="E356">
            <v>3429001</v>
          </cell>
          <cell r="F356" t="str">
            <v>(코팅)PEDOT</v>
          </cell>
          <cell r="G356" t="str">
            <v>C2</v>
          </cell>
        </row>
        <row r="357">
          <cell r="D357">
            <v>3429003</v>
          </cell>
          <cell r="E357">
            <v>3429003</v>
          </cell>
          <cell r="F357" t="str">
            <v>(코팅)NMP</v>
          </cell>
          <cell r="G357" t="str">
            <v>N-Methyl-2-Pyrrolidone</v>
          </cell>
        </row>
        <row r="358">
          <cell r="D358">
            <v>3429005</v>
          </cell>
          <cell r="E358">
            <v>3429005</v>
          </cell>
          <cell r="F358" t="str">
            <v>(코팅)EG</v>
          </cell>
          <cell r="G358" t="str">
            <v>Ethylene Glycol</v>
          </cell>
        </row>
        <row r="359">
          <cell r="D359">
            <v>3429025</v>
          </cell>
          <cell r="E359">
            <v>3429025</v>
          </cell>
          <cell r="F359" t="str">
            <v>(코팅)경화제</v>
          </cell>
          <cell r="G359" t="str">
            <v>SV-02</v>
          </cell>
        </row>
        <row r="360">
          <cell r="D360">
            <v>3429009</v>
          </cell>
          <cell r="E360">
            <v>3429009</v>
          </cell>
          <cell r="F360" t="str">
            <v>(코팅)IPA</v>
          </cell>
          <cell r="G360" t="str">
            <v>Isopproyl alcohol</v>
          </cell>
        </row>
        <row r="361">
          <cell r="D361">
            <v>3429011</v>
          </cell>
          <cell r="E361">
            <v>3429011</v>
          </cell>
          <cell r="F361" t="str">
            <v>(코팅)TEA2</v>
          </cell>
          <cell r="G361" t="str">
            <v>Triethanolamine</v>
          </cell>
        </row>
        <row r="362">
          <cell r="D362">
            <v>3429013</v>
          </cell>
          <cell r="E362">
            <v>3429013</v>
          </cell>
          <cell r="F362" t="str">
            <v>(코팅)</v>
          </cell>
          <cell r="G362" t="str">
            <v>FC-4430</v>
          </cell>
        </row>
        <row r="363">
          <cell r="D363">
            <v>3429017</v>
          </cell>
          <cell r="E363">
            <v>3429017</v>
          </cell>
          <cell r="F363" t="str">
            <v>(코팅)경화제</v>
          </cell>
          <cell r="G363" t="str">
            <v>EJ-190</v>
          </cell>
        </row>
        <row r="364">
          <cell r="D364">
            <v>3429018</v>
          </cell>
          <cell r="E364">
            <v>3429018</v>
          </cell>
          <cell r="F364" t="str">
            <v>(코팅)PUD</v>
          </cell>
          <cell r="G364" t="str">
            <v>NPC-3150</v>
          </cell>
        </row>
        <row r="365">
          <cell r="D365">
            <v>3429022</v>
          </cell>
          <cell r="E365">
            <v>3429022</v>
          </cell>
          <cell r="F365" t="str">
            <v>(코팅)NEP</v>
          </cell>
          <cell r="G365" t="str">
            <v>1-Ethyl-2-Pyrrolidone</v>
          </cell>
        </row>
        <row r="366">
          <cell r="D366">
            <v>3429023</v>
          </cell>
          <cell r="E366">
            <v>3429023</v>
          </cell>
          <cell r="F366" t="str">
            <v>(코팅)DMSO</v>
          </cell>
          <cell r="G366" t="str">
            <v>Dimethyl sulfoxide</v>
          </cell>
        </row>
        <row r="367">
          <cell r="D367">
            <v>3429024</v>
          </cell>
          <cell r="E367">
            <v>3429024</v>
          </cell>
          <cell r="F367" t="str">
            <v>(코팅)PUD</v>
          </cell>
          <cell r="G367">
            <v>960</v>
          </cell>
        </row>
        <row r="368">
          <cell r="D368">
            <v>3407001</v>
          </cell>
          <cell r="E368">
            <v>3407001</v>
          </cell>
          <cell r="F368" t="str">
            <v>M/B</v>
          </cell>
          <cell r="G368" t="str">
            <v>M/B BLUE 5296A</v>
          </cell>
        </row>
        <row r="369">
          <cell r="D369">
            <v>3407002</v>
          </cell>
          <cell r="E369">
            <v>3407002</v>
          </cell>
          <cell r="F369" t="str">
            <v>M/B</v>
          </cell>
          <cell r="G369" t="str">
            <v>M/B GREEN 6205A</v>
          </cell>
        </row>
        <row r="370">
          <cell r="D370">
            <v>3407003</v>
          </cell>
          <cell r="E370">
            <v>3407003</v>
          </cell>
          <cell r="F370" t="str">
            <v>M/B</v>
          </cell>
          <cell r="G370" t="str">
            <v>M/B ORANGE 2135A</v>
          </cell>
        </row>
        <row r="371">
          <cell r="D371">
            <v>3407005</v>
          </cell>
          <cell r="E371">
            <v>3407005</v>
          </cell>
          <cell r="F371" t="str">
            <v>M/B</v>
          </cell>
          <cell r="G371" t="str">
            <v>M/B YELLOW 3148A</v>
          </cell>
        </row>
        <row r="372">
          <cell r="D372">
            <v>3407023</v>
          </cell>
          <cell r="E372">
            <v>3407023</v>
          </cell>
          <cell r="F372" t="str">
            <v>ABS</v>
          </cell>
          <cell r="G372" t="str">
            <v>M/B RED 4996A</v>
          </cell>
        </row>
        <row r="373">
          <cell r="D373">
            <v>3407103</v>
          </cell>
          <cell r="E373">
            <v>3407103</v>
          </cell>
          <cell r="F373" t="str">
            <v>ABS</v>
          </cell>
          <cell r="G373" t="str">
            <v>GP35</v>
          </cell>
        </row>
        <row r="374">
          <cell r="D374">
            <v>3402105</v>
          </cell>
          <cell r="E374">
            <v>3402105</v>
          </cell>
          <cell r="F374" t="str">
            <v>MPPO</v>
          </cell>
          <cell r="G374" t="str">
            <v>MPPO JM-595M</v>
          </cell>
        </row>
        <row r="375">
          <cell r="D375">
            <v>3402201</v>
          </cell>
          <cell r="E375">
            <v>3402201</v>
          </cell>
          <cell r="F375" t="str">
            <v>MPPO</v>
          </cell>
          <cell r="G375" t="str">
            <v>MPPO 펠렛</v>
          </cell>
        </row>
        <row r="376">
          <cell r="D376">
            <v>3403323</v>
          </cell>
          <cell r="E376">
            <v>3403323</v>
          </cell>
          <cell r="F376" t="str">
            <v>R재</v>
          </cell>
          <cell r="G376" t="str">
            <v>MPPO&lt;PK&gt;</v>
          </cell>
        </row>
        <row r="377">
          <cell r="D377">
            <v>3402014</v>
          </cell>
          <cell r="E377">
            <v>3402014</v>
          </cell>
          <cell r="F377" t="str">
            <v>POWDER</v>
          </cell>
          <cell r="G377" t="str">
            <v>MPPO&lt;LXN-040&gt;POWDER</v>
          </cell>
        </row>
        <row r="378">
          <cell r="D378">
            <v>3402015</v>
          </cell>
          <cell r="E378">
            <v>3402015</v>
          </cell>
          <cell r="F378" t="str">
            <v>FLAKE</v>
          </cell>
          <cell r="G378" t="str">
            <v>MPPO&lt;LXN-040&gt;FLAKE</v>
          </cell>
        </row>
        <row r="379">
          <cell r="D379">
            <v>3403303</v>
          </cell>
          <cell r="E379">
            <v>3403303</v>
          </cell>
          <cell r="F379" t="str">
            <v>R재</v>
          </cell>
          <cell r="G379" t="str">
            <v>MPPO&lt;KC&gt;</v>
          </cell>
        </row>
        <row r="380">
          <cell r="D380">
            <v>3403305</v>
          </cell>
          <cell r="E380">
            <v>3403305</v>
          </cell>
          <cell r="F380" t="str">
            <v>R재</v>
          </cell>
          <cell r="G380" t="str">
            <v>MPPO&lt;S&gt;</v>
          </cell>
        </row>
        <row r="381">
          <cell r="D381">
            <v>3403307</v>
          </cell>
          <cell r="E381">
            <v>3403307</v>
          </cell>
          <cell r="F381" t="str">
            <v>R재</v>
          </cell>
          <cell r="G381" t="str">
            <v>MPPO S150</v>
          </cell>
        </row>
        <row r="382">
          <cell r="D382">
            <v>3403309</v>
          </cell>
          <cell r="E382">
            <v>3403309</v>
          </cell>
          <cell r="F382" t="str">
            <v>R재</v>
          </cell>
          <cell r="G382" t="str">
            <v>MPPO&lt;EK&gt;</v>
          </cell>
        </row>
        <row r="383">
          <cell r="D383">
            <v>3403311</v>
          </cell>
          <cell r="E383">
            <v>3403311</v>
          </cell>
          <cell r="F383" t="str">
            <v>R재</v>
          </cell>
          <cell r="G383" t="str">
            <v>MPPO&lt;DW&gt;</v>
          </cell>
        </row>
        <row r="384">
          <cell r="D384">
            <v>3403313</v>
          </cell>
          <cell r="E384">
            <v>3403313</v>
          </cell>
          <cell r="F384" t="str">
            <v>R재</v>
          </cell>
          <cell r="G384" t="str">
            <v>MPPO&lt;GF&gt;</v>
          </cell>
        </row>
        <row r="385">
          <cell r="D385">
            <v>3403321</v>
          </cell>
          <cell r="E385">
            <v>3403321</v>
          </cell>
          <cell r="F385" t="str">
            <v>R재</v>
          </cell>
          <cell r="G385" t="str">
            <v>MPPO&lt;P&gt;</v>
          </cell>
        </row>
        <row r="386">
          <cell r="D386">
            <v>3404301</v>
          </cell>
          <cell r="E386">
            <v>3404301</v>
          </cell>
          <cell r="F386" t="str">
            <v>R재</v>
          </cell>
          <cell r="G386" t="str">
            <v>MPSU(DW)</v>
          </cell>
        </row>
        <row r="387">
          <cell r="D387">
            <v>3404302</v>
          </cell>
          <cell r="E387">
            <v>3404302</v>
          </cell>
          <cell r="F387" t="str">
            <v>R재</v>
          </cell>
          <cell r="G387" t="str">
            <v>MPSU(EK)</v>
          </cell>
        </row>
        <row r="388">
          <cell r="D388">
            <v>3404303</v>
          </cell>
          <cell r="E388">
            <v>3404303</v>
          </cell>
          <cell r="F388" t="str">
            <v>R재</v>
          </cell>
          <cell r="G388" t="str">
            <v>MPSU(B)</v>
          </cell>
        </row>
        <row r="389">
          <cell r="D389">
            <v>3410240</v>
          </cell>
          <cell r="E389">
            <v>3410240</v>
          </cell>
          <cell r="F389" t="str">
            <v>PE/POWDER</v>
          </cell>
          <cell r="G389" t="str">
            <v>HM080</v>
          </cell>
        </row>
        <row r="390">
          <cell r="D390">
            <v>3410245</v>
          </cell>
          <cell r="E390">
            <v>3410245</v>
          </cell>
          <cell r="F390" t="str">
            <v>PB</v>
          </cell>
          <cell r="G390" t="str">
            <v>PB-1300</v>
          </cell>
        </row>
        <row r="391">
          <cell r="D391">
            <v>3410246</v>
          </cell>
          <cell r="E391">
            <v>3410246</v>
          </cell>
          <cell r="F391" t="str">
            <v>PB</v>
          </cell>
          <cell r="G391" t="str">
            <v>PB-2400</v>
          </cell>
        </row>
        <row r="392">
          <cell r="D392">
            <v>3409101</v>
          </cell>
          <cell r="E392">
            <v>3409101</v>
          </cell>
          <cell r="F392" t="str">
            <v>PC</v>
          </cell>
          <cell r="G392" t="str">
            <v>PC 1201-18</v>
          </cell>
        </row>
        <row r="393">
          <cell r="D393">
            <v>3409105</v>
          </cell>
          <cell r="E393">
            <v>3409105</v>
          </cell>
          <cell r="F393" t="str">
            <v>PC</v>
          </cell>
          <cell r="G393" t="str">
            <v>1303-07</v>
          </cell>
        </row>
        <row r="394">
          <cell r="D394">
            <v>3409107</v>
          </cell>
          <cell r="E394">
            <v>3409107</v>
          </cell>
          <cell r="F394" t="str">
            <v>PC</v>
          </cell>
          <cell r="G394" t="str">
            <v>1301-30</v>
          </cell>
        </row>
        <row r="395">
          <cell r="D395">
            <v>3409225</v>
          </cell>
          <cell r="E395">
            <v>3409225</v>
          </cell>
          <cell r="F395" t="str">
            <v>PC</v>
          </cell>
          <cell r="G395" t="str">
            <v>Teijin PC L-1225L</v>
          </cell>
        </row>
        <row r="396">
          <cell r="D396">
            <v>3409005</v>
          </cell>
          <cell r="E396">
            <v>3409005</v>
          </cell>
          <cell r="F396" t="str">
            <v>PC</v>
          </cell>
          <cell r="G396" t="str">
            <v>3026B(P)</v>
          </cell>
        </row>
        <row r="397">
          <cell r="D397">
            <v>3410101</v>
          </cell>
          <cell r="E397">
            <v>3410101</v>
          </cell>
          <cell r="F397" t="str">
            <v>LLDPE</v>
          </cell>
          <cell r="G397" t="str">
            <v>HY7635</v>
          </cell>
        </row>
        <row r="398">
          <cell r="D398">
            <v>3409301</v>
          </cell>
          <cell r="E398">
            <v>3409301</v>
          </cell>
          <cell r="F398" t="str">
            <v>PC</v>
          </cell>
          <cell r="G398" t="str">
            <v>PC&lt;B&gt;</v>
          </cell>
        </row>
        <row r="399">
          <cell r="D399">
            <v>3411101</v>
          </cell>
          <cell r="E399">
            <v>3411101</v>
          </cell>
          <cell r="F399" t="str">
            <v>PEI</v>
          </cell>
          <cell r="G399" t="str">
            <v>PEI(신B)</v>
          </cell>
        </row>
        <row r="400">
          <cell r="D400">
            <v>3425010</v>
          </cell>
          <cell r="E400">
            <v>3425010</v>
          </cell>
          <cell r="F400" t="str">
            <v>PBT</v>
          </cell>
          <cell r="G400" t="str">
            <v>1100HQ(B/S)</v>
          </cell>
        </row>
        <row r="401">
          <cell r="D401">
            <v>3405102</v>
          </cell>
          <cell r="E401">
            <v>3405102</v>
          </cell>
          <cell r="F401" t="str">
            <v>PES</v>
          </cell>
          <cell r="G401" t="str">
            <v>PES(신A)E1010 PELLET</v>
          </cell>
        </row>
        <row r="402">
          <cell r="D402">
            <v>3405100</v>
          </cell>
          <cell r="E402">
            <v>3405100</v>
          </cell>
          <cell r="F402" t="str">
            <v>PES</v>
          </cell>
          <cell r="G402" t="str">
            <v>PES(신B)E2010+GF</v>
          </cell>
        </row>
        <row r="403">
          <cell r="D403">
            <v>3405101</v>
          </cell>
          <cell r="E403">
            <v>3405101</v>
          </cell>
          <cell r="F403" t="str">
            <v>PES</v>
          </cell>
          <cell r="G403" t="str">
            <v>PES(신A)E2010 (WIDE SPEC)</v>
          </cell>
        </row>
        <row r="404">
          <cell r="D404">
            <v>3405132</v>
          </cell>
          <cell r="E404">
            <v>3405132</v>
          </cell>
          <cell r="F404" t="str">
            <v>PES</v>
          </cell>
          <cell r="G404" t="str">
            <v>PES(신B)PELLET</v>
          </cell>
        </row>
        <row r="405">
          <cell r="D405">
            <v>3405131</v>
          </cell>
          <cell r="E405">
            <v>3405131</v>
          </cell>
          <cell r="F405" t="str">
            <v>PES</v>
          </cell>
          <cell r="G405" t="str">
            <v>PES(신B)</v>
          </cell>
        </row>
        <row r="406">
          <cell r="D406">
            <v>3406122</v>
          </cell>
          <cell r="E406">
            <v>3406122</v>
          </cell>
          <cell r="F406" t="str">
            <v>R재</v>
          </cell>
          <cell r="G406" t="str">
            <v>MPPO&lt;PK&gt;</v>
          </cell>
        </row>
        <row r="407">
          <cell r="D407">
            <v>3405141</v>
          </cell>
          <cell r="E407">
            <v>3405141</v>
          </cell>
          <cell r="F407" t="str">
            <v>R재</v>
          </cell>
          <cell r="G407" t="str">
            <v>PES(B)</v>
          </cell>
        </row>
        <row r="408">
          <cell r="D408">
            <v>3405142</v>
          </cell>
          <cell r="E408">
            <v>3405142</v>
          </cell>
          <cell r="F408" t="str">
            <v>R재</v>
          </cell>
          <cell r="G408" t="str">
            <v>PES(B)재검사</v>
          </cell>
        </row>
        <row r="409">
          <cell r="D409">
            <v>3405111</v>
          </cell>
          <cell r="E409">
            <v>3405111</v>
          </cell>
          <cell r="F409" t="str">
            <v>PES</v>
          </cell>
          <cell r="G409" t="str">
            <v>PES(E2010 NC)</v>
          </cell>
        </row>
        <row r="410">
          <cell r="D410">
            <v>3410211</v>
          </cell>
          <cell r="E410">
            <v>3410211</v>
          </cell>
          <cell r="F410" t="str">
            <v>HDPE</v>
          </cell>
          <cell r="G410" t="str">
            <v>F920A</v>
          </cell>
        </row>
        <row r="411">
          <cell r="D411">
            <v>3410221</v>
          </cell>
          <cell r="E411">
            <v>3410221</v>
          </cell>
          <cell r="F411" t="str">
            <v>HDPE</v>
          </cell>
          <cell r="G411" t="str">
            <v>E308T</v>
          </cell>
        </row>
        <row r="412">
          <cell r="D412">
            <v>3410000</v>
          </cell>
          <cell r="E412">
            <v>3410000</v>
          </cell>
          <cell r="F412" t="str">
            <v>HDPE</v>
          </cell>
          <cell r="G412" t="str">
            <v>C828A</v>
          </cell>
        </row>
        <row r="413">
          <cell r="D413">
            <v>3410141</v>
          </cell>
          <cell r="E413">
            <v>3410141</v>
          </cell>
          <cell r="F413" t="str">
            <v>LLDPE</v>
          </cell>
          <cell r="G413" t="str">
            <v>4141C</v>
          </cell>
        </row>
        <row r="414">
          <cell r="D414">
            <v>3412205</v>
          </cell>
          <cell r="E414">
            <v>3412205</v>
          </cell>
          <cell r="F414" t="str">
            <v>PP</v>
          </cell>
          <cell r="G414" t="str">
            <v>J800</v>
          </cell>
        </row>
        <row r="415">
          <cell r="D415">
            <v>3427002</v>
          </cell>
          <cell r="E415">
            <v>3427002</v>
          </cell>
          <cell r="F415" t="str">
            <v>SMMA</v>
          </cell>
          <cell r="G415" t="str">
            <v>MS-600</v>
          </cell>
        </row>
        <row r="416">
          <cell r="D416">
            <v>3412101</v>
          </cell>
          <cell r="E416">
            <v>3412101</v>
          </cell>
          <cell r="F416" t="str">
            <v>PP</v>
          </cell>
          <cell r="G416" t="str">
            <v>CB5108</v>
          </cell>
        </row>
        <row r="417">
          <cell r="D417">
            <v>3422002</v>
          </cell>
          <cell r="E417">
            <v>3422002</v>
          </cell>
          <cell r="F417" t="str">
            <v>EVA</v>
          </cell>
          <cell r="G417" t="str">
            <v>EVA VC590</v>
          </cell>
        </row>
        <row r="418">
          <cell r="D418">
            <v>3422001</v>
          </cell>
          <cell r="E418">
            <v>3422001</v>
          </cell>
          <cell r="F418" t="str">
            <v>EVA</v>
          </cell>
          <cell r="G418" t="str">
            <v>EVA VC640</v>
          </cell>
        </row>
        <row r="419">
          <cell r="D419">
            <v>3422050</v>
          </cell>
          <cell r="E419">
            <v>3422050</v>
          </cell>
          <cell r="F419" t="str">
            <v>한화케미칼</v>
          </cell>
          <cell r="G419" t="str">
            <v>EBA E1770</v>
          </cell>
        </row>
        <row r="420">
          <cell r="D420">
            <v>3412701</v>
          </cell>
          <cell r="E420">
            <v>3412701</v>
          </cell>
          <cell r="F420" t="str">
            <v>PP</v>
          </cell>
          <cell r="G420" t="str">
            <v>H1500</v>
          </cell>
        </row>
        <row r="421">
          <cell r="D421">
            <v>3449001</v>
          </cell>
          <cell r="E421">
            <v>3449001</v>
          </cell>
          <cell r="F421" t="str">
            <v>COC</v>
          </cell>
          <cell r="G421" t="str">
            <v>8007-F04</v>
          </cell>
        </row>
        <row r="422">
          <cell r="D422">
            <v>3412105</v>
          </cell>
          <cell r="E422">
            <v>3412105</v>
          </cell>
          <cell r="F422" t="str">
            <v>PP</v>
          </cell>
          <cell r="G422" t="str">
            <v>PP 6019</v>
          </cell>
        </row>
        <row r="423">
          <cell r="D423">
            <v>3412851</v>
          </cell>
          <cell r="E423">
            <v>3412851</v>
          </cell>
          <cell r="F423" t="str">
            <v>PP</v>
          </cell>
          <cell r="G423" t="str">
            <v>PP HA5029</v>
          </cell>
        </row>
        <row r="424">
          <cell r="D424">
            <v>3406101</v>
          </cell>
          <cell r="E424">
            <v>3406101</v>
          </cell>
          <cell r="F424" t="str">
            <v>R재</v>
          </cell>
          <cell r="G424" t="str">
            <v>PPE&lt;B&gt;</v>
          </cell>
        </row>
        <row r="425">
          <cell r="D425">
            <v>3406103</v>
          </cell>
          <cell r="E425">
            <v>3406103</v>
          </cell>
          <cell r="F425" t="str">
            <v>R재</v>
          </cell>
          <cell r="G425" t="str">
            <v>PPE&lt;SH&gt;</v>
          </cell>
        </row>
        <row r="426">
          <cell r="D426">
            <v>3406105</v>
          </cell>
          <cell r="E426">
            <v>3406105</v>
          </cell>
          <cell r="F426" t="str">
            <v>R재</v>
          </cell>
          <cell r="G426" t="str">
            <v>PPE&lt;A&gt;</v>
          </cell>
        </row>
        <row r="427">
          <cell r="D427">
            <v>3402040</v>
          </cell>
          <cell r="E427">
            <v>3402040</v>
          </cell>
          <cell r="F427" t="str">
            <v>MPPO</v>
          </cell>
          <cell r="G427" t="str">
            <v>MPPO&lt;LXR-040C&gt;</v>
          </cell>
        </row>
        <row r="428">
          <cell r="D428">
            <v>3479205</v>
          </cell>
          <cell r="E428">
            <v>3479205</v>
          </cell>
          <cell r="F428" t="str">
            <v>R재</v>
          </cell>
          <cell r="G428" t="str">
            <v>PPE&lt;C&gt;</v>
          </cell>
        </row>
        <row r="429">
          <cell r="D429">
            <v>3406107</v>
          </cell>
          <cell r="E429">
            <v>3406107</v>
          </cell>
          <cell r="F429" t="str">
            <v>R재</v>
          </cell>
          <cell r="G429" t="str">
            <v>PPE&lt;EL&gt;</v>
          </cell>
        </row>
        <row r="430">
          <cell r="D430">
            <v>3406121</v>
          </cell>
          <cell r="E430">
            <v>3406121</v>
          </cell>
          <cell r="F430" t="str">
            <v>R재</v>
          </cell>
          <cell r="G430" t="str">
            <v>PPE&lt;P&gt;</v>
          </cell>
        </row>
        <row r="431">
          <cell r="D431">
            <v>3413101</v>
          </cell>
          <cell r="E431">
            <v>3413101</v>
          </cell>
          <cell r="F431" t="str">
            <v>PS</v>
          </cell>
          <cell r="G431" t="str">
            <v>JM-7600BK</v>
          </cell>
        </row>
        <row r="432">
          <cell r="D432">
            <v>3413003</v>
          </cell>
          <cell r="E432">
            <v>3413003</v>
          </cell>
          <cell r="F432" t="str">
            <v>HIPS</v>
          </cell>
          <cell r="G432" t="str">
            <v>HIPS(425TVL)</v>
          </cell>
        </row>
        <row r="433">
          <cell r="D433">
            <v>3413002</v>
          </cell>
          <cell r="E433">
            <v>3413002</v>
          </cell>
          <cell r="F433" t="str">
            <v>HIPS</v>
          </cell>
          <cell r="G433" t="str">
            <v>HIPS(425TV)</v>
          </cell>
        </row>
        <row r="434">
          <cell r="D434">
            <v>3413021</v>
          </cell>
          <cell r="E434">
            <v>3413021</v>
          </cell>
          <cell r="F434" t="str">
            <v>GPPS</v>
          </cell>
          <cell r="G434" t="str">
            <v>GP150K</v>
          </cell>
        </row>
        <row r="435">
          <cell r="D435">
            <v>3413008</v>
          </cell>
          <cell r="E435" t="str">
            <v>3413008</v>
          </cell>
          <cell r="F435" t="str">
            <v>HIPS</v>
          </cell>
          <cell r="G435" t="str">
            <v>HIPS(H835)</v>
          </cell>
        </row>
        <row r="436">
          <cell r="D436">
            <v>3413007</v>
          </cell>
          <cell r="E436">
            <v>3413007</v>
          </cell>
          <cell r="F436" t="str">
            <v>HIPS</v>
          </cell>
          <cell r="G436" t="str">
            <v>HIPS(425E)</v>
          </cell>
        </row>
        <row r="437">
          <cell r="D437">
            <v>3413107</v>
          </cell>
          <cell r="E437">
            <v>3413107</v>
          </cell>
          <cell r="F437" t="str">
            <v>PS</v>
          </cell>
          <cell r="G437" t="str">
            <v>T-7500S</v>
          </cell>
        </row>
        <row r="438">
          <cell r="D438">
            <v>3413201</v>
          </cell>
          <cell r="E438">
            <v>3413201</v>
          </cell>
          <cell r="F438" t="str">
            <v>M/B</v>
          </cell>
          <cell r="G438" t="str">
            <v>802H</v>
          </cell>
        </row>
        <row r="439">
          <cell r="D439">
            <v>3429106</v>
          </cell>
          <cell r="E439">
            <v>3429106</v>
          </cell>
          <cell r="F439" t="str">
            <v>(코팅액)PEDOT</v>
          </cell>
          <cell r="G439" t="str">
            <v>G6</v>
          </cell>
        </row>
        <row r="440">
          <cell r="D440">
            <v>3413351</v>
          </cell>
          <cell r="E440">
            <v>3413351</v>
          </cell>
          <cell r="F440" t="str">
            <v>PS</v>
          </cell>
          <cell r="G440" t="str">
            <v>PS&lt;B2&gt;</v>
          </cell>
        </row>
        <row r="441">
          <cell r="D441">
            <v>3413371</v>
          </cell>
          <cell r="E441">
            <v>3413371</v>
          </cell>
          <cell r="F441" t="str">
            <v>PS</v>
          </cell>
          <cell r="G441" t="str">
            <v>PS&lt;S1&gt;</v>
          </cell>
        </row>
        <row r="442">
          <cell r="D442">
            <v>3413361</v>
          </cell>
          <cell r="E442">
            <v>3413361</v>
          </cell>
          <cell r="F442" t="str">
            <v>PS</v>
          </cell>
          <cell r="G442" t="str">
            <v>PS&lt;신B3&gt;</v>
          </cell>
        </row>
        <row r="443">
          <cell r="D443">
            <v>3413301</v>
          </cell>
          <cell r="E443">
            <v>3413301</v>
          </cell>
          <cell r="F443" t="str">
            <v>PS</v>
          </cell>
          <cell r="G443" t="str">
            <v>PS&lt;신B&gt;A1</v>
          </cell>
        </row>
        <row r="444">
          <cell r="D444">
            <v>3413303</v>
          </cell>
          <cell r="E444">
            <v>3413303</v>
          </cell>
          <cell r="F444" t="str">
            <v>PS</v>
          </cell>
          <cell r="G444" t="str">
            <v>PS&lt;신B&gt;C1</v>
          </cell>
        </row>
        <row r="445">
          <cell r="D445">
            <v>3413305</v>
          </cell>
          <cell r="E445">
            <v>3413305</v>
          </cell>
          <cell r="F445" t="str">
            <v>PS</v>
          </cell>
          <cell r="G445" t="str">
            <v>PS&lt;신B&gt;B1</v>
          </cell>
        </row>
        <row r="446">
          <cell r="D446">
            <v>3413304</v>
          </cell>
          <cell r="E446">
            <v>3413304</v>
          </cell>
          <cell r="F446" t="str">
            <v>PS</v>
          </cell>
          <cell r="G446" t="str">
            <v>PS&lt;신B&gt;C2</v>
          </cell>
        </row>
        <row r="447">
          <cell r="D447">
            <v>3413306</v>
          </cell>
          <cell r="E447">
            <v>3413306</v>
          </cell>
          <cell r="F447" t="str">
            <v>PS</v>
          </cell>
          <cell r="G447" t="str">
            <v>PS&lt;신B&gt;미색</v>
          </cell>
        </row>
        <row r="448">
          <cell r="D448">
            <v>3404401</v>
          </cell>
          <cell r="E448">
            <v>3404401</v>
          </cell>
          <cell r="F448" t="str">
            <v>PSU</v>
          </cell>
          <cell r="G448" t="str">
            <v>PSU(신B)</v>
          </cell>
        </row>
        <row r="449">
          <cell r="D449">
            <v>3404402</v>
          </cell>
          <cell r="E449">
            <v>3404402</v>
          </cell>
          <cell r="F449" t="str">
            <v>PSU</v>
          </cell>
          <cell r="G449" t="str">
            <v>PSU(신B)PELLET</v>
          </cell>
        </row>
        <row r="450">
          <cell r="D450">
            <v>3429020</v>
          </cell>
          <cell r="E450">
            <v>3429020</v>
          </cell>
          <cell r="F450" t="str">
            <v>(코팅)슬립제</v>
          </cell>
          <cell r="G450" t="str">
            <v>MODAREZ K-SL107</v>
          </cell>
        </row>
        <row r="451">
          <cell r="D451">
            <v>3479005</v>
          </cell>
          <cell r="E451">
            <v>3479005</v>
          </cell>
          <cell r="F451" t="str">
            <v>상용화제</v>
          </cell>
          <cell r="G451" t="str">
            <v>SAM-020</v>
          </cell>
        </row>
        <row r="452">
          <cell r="D452">
            <v>3416001</v>
          </cell>
          <cell r="E452">
            <v>3416001</v>
          </cell>
          <cell r="F452" t="str">
            <v>EMA</v>
          </cell>
          <cell r="G452" t="str">
            <v>1330AC</v>
          </cell>
        </row>
        <row r="453">
          <cell r="D453">
            <v>3414085</v>
          </cell>
          <cell r="E453">
            <v>3414085</v>
          </cell>
          <cell r="F453" t="str">
            <v>SEBS</v>
          </cell>
          <cell r="G453" t="str">
            <v>YJ-5085AN</v>
          </cell>
        </row>
        <row r="454">
          <cell r="D454">
            <v>3414117</v>
          </cell>
          <cell r="E454">
            <v>3414117</v>
          </cell>
          <cell r="F454" t="str">
            <v>SEBS</v>
          </cell>
          <cell r="G454" t="str">
            <v>LCY7550</v>
          </cell>
        </row>
        <row r="455">
          <cell r="D455">
            <v>3414101</v>
          </cell>
          <cell r="E455">
            <v>3414101</v>
          </cell>
          <cell r="F455" t="str">
            <v>SEBS</v>
          </cell>
          <cell r="G455" t="str">
            <v>TSRC 6152</v>
          </cell>
        </row>
        <row r="456">
          <cell r="D456">
            <v>3415114</v>
          </cell>
          <cell r="E456">
            <v>3415114</v>
          </cell>
          <cell r="F456" t="str">
            <v>SBS</v>
          </cell>
          <cell r="G456" t="str">
            <v>LCY3536</v>
          </cell>
        </row>
        <row r="457">
          <cell r="D457">
            <v>3479007</v>
          </cell>
          <cell r="E457">
            <v>3479007</v>
          </cell>
          <cell r="F457" t="str">
            <v>PDMS</v>
          </cell>
          <cell r="G457" t="str">
            <v>SLIP 230H</v>
          </cell>
        </row>
        <row r="458">
          <cell r="D458">
            <v>3408161</v>
          </cell>
          <cell r="E458">
            <v>3408161</v>
          </cell>
          <cell r="F458" t="str">
            <v>PPA</v>
          </cell>
          <cell r="G458" t="str">
            <v>N-100</v>
          </cell>
        </row>
        <row r="459">
          <cell r="D459">
            <v>3408133</v>
          </cell>
          <cell r="E459">
            <v>3408133</v>
          </cell>
          <cell r="F459" t="str">
            <v>PA</v>
          </cell>
          <cell r="G459" t="str">
            <v>PA66 27AE1K</v>
          </cell>
        </row>
        <row r="460">
          <cell r="D460">
            <v>3416021</v>
          </cell>
          <cell r="E460">
            <v>3416021</v>
          </cell>
          <cell r="F460" t="str">
            <v>충격보강제</v>
          </cell>
          <cell r="G460" t="str">
            <v>VM-6202</v>
          </cell>
        </row>
        <row r="461">
          <cell r="D461">
            <v>3423001</v>
          </cell>
          <cell r="E461">
            <v>3423001</v>
          </cell>
          <cell r="F461" t="str">
            <v>PPS</v>
          </cell>
          <cell r="G461" t="str">
            <v>1150C</v>
          </cell>
        </row>
        <row r="462">
          <cell r="D462">
            <v>3460002</v>
          </cell>
          <cell r="E462">
            <v>3460002</v>
          </cell>
          <cell r="F462" t="str">
            <v>PTFE</v>
          </cell>
          <cell r="G462" t="str">
            <v>PTFE(TP202)</v>
          </cell>
        </row>
        <row r="463">
          <cell r="D463">
            <v>3460001</v>
          </cell>
          <cell r="E463">
            <v>3460001</v>
          </cell>
          <cell r="F463" t="str">
            <v>PTFE</v>
          </cell>
          <cell r="G463" t="str">
            <v>PTFE37E</v>
          </cell>
        </row>
        <row r="464">
          <cell r="D464">
            <v>3499008</v>
          </cell>
          <cell r="E464">
            <v>3499008</v>
          </cell>
          <cell r="F464" t="str">
            <v>열전도성수지</v>
          </cell>
          <cell r="G464" t="str">
            <v>N2005R</v>
          </cell>
        </row>
        <row r="465">
          <cell r="D465">
            <v>3451004</v>
          </cell>
          <cell r="E465">
            <v>3451004</v>
          </cell>
          <cell r="F465" t="str">
            <v>산화방지제</v>
          </cell>
          <cell r="G465" t="str">
            <v>Mianto S(DSTDP)</v>
          </cell>
        </row>
        <row r="466">
          <cell r="D466">
            <v>3451005</v>
          </cell>
          <cell r="E466">
            <v>3451005</v>
          </cell>
          <cell r="F466" t="str">
            <v>A/O</v>
          </cell>
          <cell r="G466" t="str">
            <v>ANOX 20</v>
          </cell>
        </row>
        <row r="467">
          <cell r="D467">
            <v>3451051</v>
          </cell>
          <cell r="E467" t="str">
            <v>3451051</v>
          </cell>
          <cell r="F467" t="str">
            <v>A/O</v>
          </cell>
          <cell r="G467" t="str">
            <v>Songnox1010PW</v>
          </cell>
        </row>
        <row r="468">
          <cell r="D468">
            <v>3451006</v>
          </cell>
          <cell r="E468">
            <v>3451006</v>
          </cell>
          <cell r="F468" t="str">
            <v>A/O</v>
          </cell>
          <cell r="G468" t="str">
            <v>A/O-60</v>
          </cell>
        </row>
        <row r="469">
          <cell r="D469">
            <v>3451052</v>
          </cell>
          <cell r="E469">
            <v>3451052</v>
          </cell>
          <cell r="F469" t="str">
            <v>A/O</v>
          </cell>
          <cell r="G469" t="str">
            <v>Songnox1680PW</v>
          </cell>
        </row>
        <row r="470">
          <cell r="D470">
            <v>3479207</v>
          </cell>
          <cell r="E470">
            <v>3479207</v>
          </cell>
          <cell r="F470" t="str">
            <v>염료</v>
          </cell>
          <cell r="G470" t="str">
            <v>BLUE 2B(BLUE 13)</v>
          </cell>
        </row>
        <row r="471">
          <cell r="D471">
            <v>3452003</v>
          </cell>
          <cell r="E471">
            <v>3452003</v>
          </cell>
          <cell r="F471" t="str">
            <v>염료</v>
          </cell>
          <cell r="G471" t="str">
            <v>RED BB</v>
          </cell>
        </row>
        <row r="472">
          <cell r="D472">
            <v>3452004</v>
          </cell>
          <cell r="E472">
            <v>3452004</v>
          </cell>
          <cell r="F472" t="str">
            <v>염료</v>
          </cell>
          <cell r="G472" t="str">
            <v>RED G</v>
          </cell>
        </row>
        <row r="473">
          <cell r="D473">
            <v>3452006</v>
          </cell>
          <cell r="E473">
            <v>3452006</v>
          </cell>
          <cell r="F473" t="str">
            <v>염료</v>
          </cell>
          <cell r="G473" t="str">
            <v>YELLOW2G(114)</v>
          </cell>
        </row>
        <row r="474">
          <cell r="D474">
            <v>3452007</v>
          </cell>
          <cell r="E474">
            <v>3452007</v>
          </cell>
          <cell r="F474" t="str">
            <v>염료</v>
          </cell>
          <cell r="G474" t="str">
            <v>P.YELLOW K2270</v>
          </cell>
        </row>
        <row r="475">
          <cell r="D475">
            <v>3452008</v>
          </cell>
          <cell r="E475">
            <v>3452008</v>
          </cell>
          <cell r="F475" t="str">
            <v>염료</v>
          </cell>
          <cell r="G475" t="str">
            <v>BLUE 97</v>
          </cell>
        </row>
        <row r="476">
          <cell r="D476">
            <v>3455033</v>
          </cell>
          <cell r="E476">
            <v>3455033</v>
          </cell>
          <cell r="F476" t="str">
            <v>TALC</v>
          </cell>
          <cell r="G476" t="str">
            <v>ISNP-400(고백색)</v>
          </cell>
        </row>
        <row r="477">
          <cell r="D477">
            <v>3453001</v>
          </cell>
          <cell r="E477">
            <v>3453001</v>
          </cell>
          <cell r="F477" t="str">
            <v>무기안료</v>
          </cell>
          <cell r="G477" t="str">
            <v>GREEN V9412(50)</v>
          </cell>
        </row>
        <row r="478">
          <cell r="D478">
            <v>3453002</v>
          </cell>
          <cell r="E478">
            <v>3453002</v>
          </cell>
          <cell r="F478" t="str">
            <v>무기안료</v>
          </cell>
          <cell r="G478" t="str">
            <v>YELLOW V1633(TY-300)</v>
          </cell>
        </row>
        <row r="479">
          <cell r="D479">
            <v>3453003</v>
          </cell>
          <cell r="E479">
            <v>3453003</v>
          </cell>
          <cell r="F479" t="str">
            <v>무기안료</v>
          </cell>
          <cell r="G479" t="str">
            <v>BLUE 28</v>
          </cell>
        </row>
        <row r="480">
          <cell r="D480">
            <v>3455031</v>
          </cell>
          <cell r="E480">
            <v>3455031</v>
          </cell>
          <cell r="F480" t="str">
            <v>TALC</v>
          </cell>
          <cell r="G480" t="str">
            <v>ISH-A325</v>
          </cell>
        </row>
        <row r="481">
          <cell r="D481">
            <v>3461001</v>
          </cell>
          <cell r="E481">
            <v>3461001</v>
          </cell>
          <cell r="F481" t="str">
            <v>TiO2</v>
          </cell>
          <cell r="G481" t="str">
            <v>R-902</v>
          </cell>
        </row>
        <row r="482">
          <cell r="D482">
            <v>3479045</v>
          </cell>
          <cell r="E482">
            <v>3479045</v>
          </cell>
          <cell r="F482" t="str">
            <v>징크</v>
          </cell>
          <cell r="G482" t="str">
            <v>ZN-ST(SZ-210)</v>
          </cell>
        </row>
        <row r="483">
          <cell r="D483">
            <v>3479046</v>
          </cell>
          <cell r="E483">
            <v>3479046</v>
          </cell>
          <cell r="F483" t="str">
            <v>ZnO</v>
          </cell>
          <cell r="G483" t="str">
            <v>KS 1호</v>
          </cell>
        </row>
        <row r="484">
          <cell r="D484">
            <v>3454001</v>
          </cell>
          <cell r="E484">
            <v>3454001</v>
          </cell>
          <cell r="F484" t="str">
            <v>MICA</v>
          </cell>
          <cell r="G484" t="str">
            <v>M-150</v>
          </cell>
        </row>
        <row r="485">
          <cell r="D485">
            <v>3479203</v>
          </cell>
          <cell r="E485">
            <v>3479203</v>
          </cell>
          <cell r="F485" t="str">
            <v>CaCO3</v>
          </cell>
          <cell r="G485" t="str">
            <v>CC-15</v>
          </cell>
        </row>
        <row r="486">
          <cell r="D486">
            <v>3455002</v>
          </cell>
          <cell r="E486">
            <v>3455002</v>
          </cell>
          <cell r="F486" t="str">
            <v>TALC</v>
          </cell>
          <cell r="G486" t="str">
            <v>KC-2000</v>
          </cell>
        </row>
        <row r="487">
          <cell r="D487">
            <v>3455021</v>
          </cell>
          <cell r="E487">
            <v>3455021</v>
          </cell>
          <cell r="F487" t="str">
            <v>TALC</v>
          </cell>
          <cell r="G487" t="str">
            <v>ULTRA TALC 609</v>
          </cell>
        </row>
        <row r="488">
          <cell r="D488">
            <v>3454002</v>
          </cell>
          <cell r="E488">
            <v>3454002</v>
          </cell>
          <cell r="F488" t="str">
            <v>MICA</v>
          </cell>
          <cell r="G488" t="str">
            <v>MICA PW80</v>
          </cell>
        </row>
        <row r="489">
          <cell r="D489">
            <v>3462001</v>
          </cell>
          <cell r="E489">
            <v>3462001</v>
          </cell>
          <cell r="F489" t="str">
            <v>TALC</v>
          </cell>
          <cell r="G489" t="str">
            <v>Wollastonite XA-600</v>
          </cell>
        </row>
        <row r="490">
          <cell r="D490">
            <v>3455003</v>
          </cell>
          <cell r="E490">
            <v>3455003</v>
          </cell>
          <cell r="F490" t="str">
            <v>TALC</v>
          </cell>
          <cell r="G490" t="str">
            <v>FINE TALC KC-5000L</v>
          </cell>
        </row>
        <row r="491">
          <cell r="D491">
            <v>3479021</v>
          </cell>
          <cell r="E491">
            <v>3479021</v>
          </cell>
          <cell r="F491" t="str">
            <v>LOXIOL</v>
          </cell>
          <cell r="G491" t="str">
            <v>VPG861</v>
          </cell>
        </row>
        <row r="492">
          <cell r="D492">
            <v>3479022</v>
          </cell>
          <cell r="E492">
            <v>3479022</v>
          </cell>
          <cell r="F492" t="str">
            <v>LOXIOL</v>
          </cell>
          <cell r="G492" t="str">
            <v>P861/3.5</v>
          </cell>
        </row>
        <row r="493">
          <cell r="D493">
            <v>3479023</v>
          </cell>
          <cell r="E493">
            <v>3479023</v>
          </cell>
          <cell r="F493" t="str">
            <v>PA</v>
          </cell>
          <cell r="G493" t="str">
            <v>P-130</v>
          </cell>
        </row>
        <row r="494">
          <cell r="D494">
            <v>3456011</v>
          </cell>
          <cell r="E494">
            <v>3456011</v>
          </cell>
          <cell r="F494" t="str">
            <v>C/B</v>
          </cell>
          <cell r="G494" t="str">
            <v>VXC68</v>
          </cell>
        </row>
        <row r="495">
          <cell r="D495">
            <v>3456021</v>
          </cell>
          <cell r="E495">
            <v>3456021</v>
          </cell>
          <cell r="F495" t="str">
            <v>C/B</v>
          </cell>
          <cell r="G495" t="str">
            <v>HI160B</v>
          </cell>
        </row>
        <row r="496">
          <cell r="D496">
            <v>3456031</v>
          </cell>
          <cell r="E496">
            <v>3456031</v>
          </cell>
          <cell r="F496" t="str">
            <v>C/B</v>
          </cell>
          <cell r="G496" t="str">
            <v>250G</v>
          </cell>
        </row>
        <row r="497">
          <cell r="D497">
            <v>3456002</v>
          </cell>
          <cell r="E497">
            <v>3456002</v>
          </cell>
          <cell r="F497" t="str">
            <v>C/B</v>
          </cell>
          <cell r="G497" t="str">
            <v>CD7067</v>
          </cell>
        </row>
        <row r="498">
          <cell r="D498">
            <v>3456003</v>
          </cell>
          <cell r="E498">
            <v>3456003</v>
          </cell>
          <cell r="F498" t="str">
            <v>C/B</v>
          </cell>
          <cell r="G498" t="str">
            <v>K-Ultra</v>
          </cell>
        </row>
        <row r="499">
          <cell r="D499">
            <v>3456000</v>
          </cell>
          <cell r="E499">
            <v>3456000</v>
          </cell>
          <cell r="F499" t="str">
            <v>C/B</v>
          </cell>
          <cell r="G499" t="str">
            <v>REVEN UV ULTRA</v>
          </cell>
        </row>
        <row r="500">
          <cell r="D500">
            <v>3456001</v>
          </cell>
          <cell r="E500">
            <v>3456001</v>
          </cell>
          <cell r="F500" t="str">
            <v>C/B</v>
          </cell>
          <cell r="G500" t="str">
            <v>CD7054</v>
          </cell>
        </row>
        <row r="501">
          <cell r="D501">
            <v>3456004</v>
          </cell>
          <cell r="E501">
            <v>3456004</v>
          </cell>
          <cell r="F501" t="str">
            <v>C/B</v>
          </cell>
          <cell r="G501" t="str">
            <v>CD7055U</v>
          </cell>
        </row>
        <row r="502">
          <cell r="D502">
            <v>3456005</v>
          </cell>
          <cell r="E502" t="str">
            <v>3456005</v>
          </cell>
          <cell r="F502" t="str">
            <v>C/B</v>
          </cell>
          <cell r="G502" t="str">
            <v>CD7097</v>
          </cell>
        </row>
        <row r="503">
          <cell r="D503">
            <v>3457061</v>
          </cell>
          <cell r="E503">
            <v>3457061</v>
          </cell>
          <cell r="F503" t="str">
            <v xml:space="preserve">C/F </v>
          </cell>
          <cell r="G503" t="str">
            <v>C/F MLD 300 G U1(PROCOTEX)</v>
          </cell>
        </row>
        <row r="504">
          <cell r="D504">
            <v>3457011</v>
          </cell>
          <cell r="E504">
            <v>3457011</v>
          </cell>
          <cell r="F504" t="str">
            <v xml:space="preserve">C/F </v>
          </cell>
          <cell r="G504" t="str">
            <v>ACECA-6PU</v>
          </cell>
        </row>
        <row r="505">
          <cell r="D505">
            <v>3457015</v>
          </cell>
          <cell r="E505">
            <v>3457015</v>
          </cell>
          <cell r="F505" t="str">
            <v xml:space="preserve">C/F </v>
          </cell>
          <cell r="G505" t="str">
            <v>RCA(ZOLTEK)</v>
          </cell>
        </row>
        <row r="506">
          <cell r="D506">
            <v>3457031</v>
          </cell>
          <cell r="E506">
            <v>3457031</v>
          </cell>
          <cell r="F506" t="str">
            <v>C/F (ELG)</v>
          </cell>
          <cell r="G506" t="str">
            <v>C/F CT+SM45D-06-50</v>
          </cell>
        </row>
        <row r="507">
          <cell r="D507">
            <v>3457041</v>
          </cell>
          <cell r="E507">
            <v>3457041</v>
          </cell>
          <cell r="F507" t="str">
            <v xml:space="preserve">C/F </v>
          </cell>
          <cell r="G507" t="str">
            <v>C/F KRC-U12(TEIJIN)</v>
          </cell>
        </row>
        <row r="508">
          <cell r="D508">
            <v>3457051</v>
          </cell>
          <cell r="E508">
            <v>3457051</v>
          </cell>
          <cell r="F508" t="str">
            <v xml:space="preserve">C/F </v>
          </cell>
          <cell r="G508" t="str">
            <v>C/F RVD</v>
          </cell>
        </row>
        <row r="509">
          <cell r="D509">
            <v>3457053</v>
          </cell>
          <cell r="E509">
            <v>3457053</v>
          </cell>
          <cell r="F509" t="str">
            <v xml:space="preserve">C/F </v>
          </cell>
          <cell r="G509" t="str">
            <v>C/F 국내(용주)</v>
          </cell>
        </row>
        <row r="510">
          <cell r="D510">
            <v>3457012</v>
          </cell>
          <cell r="E510">
            <v>3457012</v>
          </cell>
          <cell r="F510" t="str">
            <v xml:space="preserve">C/F </v>
          </cell>
          <cell r="G510" t="str">
            <v>ACECA-CBT PU</v>
          </cell>
        </row>
        <row r="511">
          <cell r="D511">
            <v>3457091</v>
          </cell>
          <cell r="E511">
            <v>3457091</v>
          </cell>
          <cell r="F511" t="str">
            <v>NiCF</v>
          </cell>
          <cell r="G511" t="str">
            <v>HT C923</v>
          </cell>
        </row>
        <row r="512">
          <cell r="D512">
            <v>3464001</v>
          </cell>
          <cell r="E512">
            <v>3464001</v>
          </cell>
          <cell r="F512" t="str">
            <v>CNT</v>
          </cell>
          <cell r="G512" t="str">
            <v>CM-150</v>
          </cell>
        </row>
        <row r="513">
          <cell r="D513">
            <v>3458007</v>
          </cell>
          <cell r="E513">
            <v>3458007</v>
          </cell>
          <cell r="F513" t="str">
            <v>IDP</v>
          </cell>
          <cell r="G513" t="str">
            <v>PELECTRON PVL</v>
          </cell>
        </row>
        <row r="514">
          <cell r="D514">
            <v>3458003</v>
          </cell>
          <cell r="E514">
            <v>3458003</v>
          </cell>
          <cell r="F514" t="str">
            <v>IDP</v>
          </cell>
          <cell r="G514" t="str">
            <v>PELESTAT NC6321</v>
          </cell>
        </row>
        <row r="515">
          <cell r="D515">
            <v>3458008</v>
          </cell>
          <cell r="E515">
            <v>3458008</v>
          </cell>
          <cell r="F515" t="str">
            <v>IDP</v>
          </cell>
          <cell r="G515" t="str">
            <v>PELECTRON AS</v>
          </cell>
        </row>
        <row r="516">
          <cell r="D516">
            <v>3458002</v>
          </cell>
          <cell r="E516">
            <v>3458002</v>
          </cell>
          <cell r="F516" t="str">
            <v>IDP</v>
          </cell>
          <cell r="G516" t="str">
            <v>PELESTAT 300</v>
          </cell>
        </row>
        <row r="517">
          <cell r="D517">
            <v>3458001</v>
          </cell>
          <cell r="E517">
            <v>3458001</v>
          </cell>
          <cell r="F517" t="str">
            <v>IDP</v>
          </cell>
          <cell r="G517" t="str">
            <v>PELESTAT 6500</v>
          </cell>
        </row>
        <row r="518">
          <cell r="D518">
            <v>3458004</v>
          </cell>
          <cell r="E518">
            <v>3458004</v>
          </cell>
          <cell r="F518" t="str">
            <v>IDP</v>
          </cell>
          <cell r="G518" t="str">
            <v>PELESTAT NC7530</v>
          </cell>
        </row>
        <row r="519">
          <cell r="D519">
            <v>3458031</v>
          </cell>
          <cell r="E519">
            <v>3458031</v>
          </cell>
          <cell r="F519" t="str">
            <v>IDP</v>
          </cell>
          <cell r="G519" t="str">
            <v>MH2030</v>
          </cell>
        </row>
        <row r="520">
          <cell r="D520">
            <v>3465001</v>
          </cell>
          <cell r="E520">
            <v>3465001</v>
          </cell>
          <cell r="F520" t="str">
            <v>LCP(액정고분자)</v>
          </cell>
          <cell r="G520" t="str">
            <v>2030G-BLACK(재생)</v>
          </cell>
        </row>
        <row r="521">
          <cell r="D521">
            <v>3479050</v>
          </cell>
          <cell r="E521">
            <v>3479050</v>
          </cell>
          <cell r="F521" t="str">
            <v>한화케미칼</v>
          </cell>
          <cell r="G521" t="str">
            <v>MICOLIN LAS(미원화학)</v>
          </cell>
        </row>
        <row r="522">
          <cell r="D522">
            <v>3479071</v>
          </cell>
          <cell r="E522">
            <v>3479071</v>
          </cell>
          <cell r="G522" t="str">
            <v>ADFLEX Q100F(RUBBER)</v>
          </cell>
        </row>
        <row r="523">
          <cell r="D523">
            <v>3479070</v>
          </cell>
          <cell r="E523">
            <v>3479070</v>
          </cell>
          <cell r="G523" t="str">
            <v>OMZT</v>
          </cell>
        </row>
        <row r="524">
          <cell r="D524">
            <v>3479069</v>
          </cell>
          <cell r="E524">
            <v>3479069</v>
          </cell>
          <cell r="G524" t="str">
            <v>PP BLACK MB</v>
          </cell>
        </row>
        <row r="525">
          <cell r="D525">
            <v>3479068</v>
          </cell>
          <cell r="E525">
            <v>3479068</v>
          </cell>
          <cell r="G525" t="str">
            <v>PP Mnipellet(재생)</v>
          </cell>
        </row>
        <row r="526">
          <cell r="D526">
            <v>3459029</v>
          </cell>
          <cell r="E526">
            <v>3459029</v>
          </cell>
          <cell r="F526" t="str">
            <v xml:space="preserve">G/F </v>
          </cell>
          <cell r="G526" t="str">
            <v>Changhai(중국)PA 116A</v>
          </cell>
        </row>
        <row r="527">
          <cell r="D527">
            <v>3459031</v>
          </cell>
          <cell r="E527">
            <v>3459031</v>
          </cell>
          <cell r="F527" t="str">
            <v xml:space="preserve">G/F </v>
          </cell>
          <cell r="G527" t="str">
            <v>HP3786 (대만)</v>
          </cell>
        </row>
        <row r="528">
          <cell r="D528">
            <v>3479060</v>
          </cell>
          <cell r="E528">
            <v>3479060</v>
          </cell>
          <cell r="F528" t="str">
            <v>Natural Graphite</v>
          </cell>
          <cell r="G528" t="str">
            <v>TIMREX 20X50 97</v>
          </cell>
        </row>
        <row r="529">
          <cell r="D529">
            <v>3459012</v>
          </cell>
          <cell r="E529">
            <v>3459012</v>
          </cell>
          <cell r="F529" t="str">
            <v>G/F</v>
          </cell>
          <cell r="G529" t="str">
            <v>T436(태산)</v>
          </cell>
        </row>
        <row r="530">
          <cell r="D530">
            <v>3459011</v>
          </cell>
          <cell r="E530">
            <v>3459011</v>
          </cell>
          <cell r="F530" t="str">
            <v>G/F</v>
          </cell>
          <cell r="G530" t="str">
            <v>T435N(태산)</v>
          </cell>
        </row>
        <row r="531">
          <cell r="D531">
            <v>3459002</v>
          </cell>
          <cell r="E531">
            <v>3459002</v>
          </cell>
          <cell r="F531" t="str">
            <v>G/F</v>
          </cell>
          <cell r="G531" t="str">
            <v>KCC-CS311/395</v>
          </cell>
        </row>
        <row r="532">
          <cell r="D532">
            <v>3459030</v>
          </cell>
          <cell r="E532">
            <v>3459030</v>
          </cell>
          <cell r="F532" t="str">
            <v>G/F</v>
          </cell>
          <cell r="G532" t="str">
            <v>G/F ECS13-540H (쥬시)</v>
          </cell>
        </row>
        <row r="533">
          <cell r="D533">
            <v>3459032</v>
          </cell>
          <cell r="E533">
            <v>3459032</v>
          </cell>
          <cell r="F533" t="str">
            <v>G/F</v>
          </cell>
          <cell r="G533" t="str">
            <v>국내G/F(NEG,OWENS,KCC)</v>
          </cell>
        </row>
        <row r="534">
          <cell r="D534">
            <v>3479201</v>
          </cell>
          <cell r="E534">
            <v>3479201</v>
          </cell>
          <cell r="F534" t="str">
            <v>탄산칼슘</v>
          </cell>
          <cell r="G534" t="str">
            <v>CaCO3(옥염화)</v>
          </cell>
        </row>
        <row r="535">
          <cell r="D535">
            <v>3499000</v>
          </cell>
          <cell r="E535">
            <v>3499000</v>
          </cell>
          <cell r="F535" t="str">
            <v>불용</v>
          </cell>
          <cell r="G535" t="str">
            <v>불용자재 T-7200A</v>
          </cell>
        </row>
        <row r="536">
          <cell r="D536">
            <v>3403323</v>
          </cell>
          <cell r="E536">
            <v>3403323</v>
          </cell>
          <cell r="F536" t="str">
            <v>R재</v>
          </cell>
          <cell r="G536" t="str">
            <v>MPPO&lt;PK&gt;</v>
          </cell>
        </row>
        <row r="537">
          <cell r="D537">
            <v>3429009</v>
          </cell>
          <cell r="E537">
            <v>3429009</v>
          </cell>
          <cell r="F537" t="str">
            <v>(코팅)IPA</v>
          </cell>
          <cell r="G537" t="str">
            <v>Isopproyl alcohol</v>
          </cell>
        </row>
        <row r="538">
          <cell r="D538">
            <v>3429011</v>
          </cell>
          <cell r="E538">
            <v>3429011</v>
          </cell>
          <cell r="F538" t="str">
            <v>(코팅)TEA2</v>
          </cell>
          <cell r="G538" t="str">
            <v>Triethanolamine</v>
          </cell>
        </row>
        <row r="539">
          <cell r="D539">
            <v>3429013</v>
          </cell>
          <cell r="E539">
            <v>3429013</v>
          </cell>
          <cell r="F539" t="str">
            <v>(코팅)</v>
          </cell>
          <cell r="G539" t="str">
            <v>FC-4430</v>
          </cell>
        </row>
        <row r="540">
          <cell r="D540">
            <v>3429015</v>
          </cell>
          <cell r="E540">
            <v>3429015</v>
          </cell>
        </row>
        <row r="541">
          <cell r="D541">
            <v>3429017</v>
          </cell>
          <cell r="E541">
            <v>3429017</v>
          </cell>
          <cell r="F541" t="str">
            <v>(코팅)경화제</v>
          </cell>
          <cell r="G541" t="str">
            <v>EJ-190</v>
          </cell>
        </row>
        <row r="542">
          <cell r="D542">
            <v>3429018</v>
          </cell>
          <cell r="E542">
            <v>3429018</v>
          </cell>
        </row>
        <row r="543">
          <cell r="D543">
            <v>3429022</v>
          </cell>
          <cell r="E543">
            <v>3429022</v>
          </cell>
        </row>
        <row r="544">
          <cell r="D544">
            <v>3429023</v>
          </cell>
          <cell r="E544">
            <v>3429023</v>
          </cell>
        </row>
        <row r="545">
          <cell r="D545">
            <v>3429024</v>
          </cell>
          <cell r="E545">
            <v>3429024</v>
          </cell>
        </row>
        <row r="546">
          <cell r="D546">
            <v>3407001</v>
          </cell>
          <cell r="E546">
            <v>3407001</v>
          </cell>
          <cell r="F546" t="str">
            <v>M/B</v>
          </cell>
          <cell r="G546" t="str">
            <v>M/B BLUE 5296A</v>
          </cell>
        </row>
        <row r="547">
          <cell r="D547">
            <v>3407002</v>
          </cell>
          <cell r="E547">
            <v>3407002</v>
          </cell>
          <cell r="F547" t="str">
            <v>M/B</v>
          </cell>
          <cell r="G547" t="str">
            <v>M/B GREEN 6205A</v>
          </cell>
        </row>
        <row r="548">
          <cell r="D548">
            <v>3407003</v>
          </cell>
          <cell r="E548">
            <v>3407003</v>
          </cell>
          <cell r="F548" t="str">
            <v>M/B</v>
          </cell>
          <cell r="G548" t="str">
            <v>M/B ORANGE 2135A</v>
          </cell>
        </row>
        <row r="549">
          <cell r="D549">
            <v>0</v>
          </cell>
        </row>
        <row r="550">
          <cell r="D550">
            <v>3407005</v>
          </cell>
          <cell r="E550">
            <v>3407005</v>
          </cell>
          <cell r="F550" t="str">
            <v>M/B</v>
          </cell>
          <cell r="G550" t="str">
            <v>M/B YELLOW 3148A</v>
          </cell>
        </row>
        <row r="551">
          <cell r="D551">
            <v>3407006</v>
          </cell>
          <cell r="E551">
            <v>3407006</v>
          </cell>
          <cell r="F551" t="str">
            <v>M/B</v>
          </cell>
          <cell r="G551" t="str">
            <v>M/B YELLOW 3510A</v>
          </cell>
        </row>
        <row r="552">
          <cell r="D552">
            <v>0</v>
          </cell>
        </row>
        <row r="553">
          <cell r="D553">
            <v>0</v>
          </cell>
        </row>
        <row r="554">
          <cell r="D554">
            <v>0</v>
          </cell>
        </row>
        <row r="555">
          <cell r="D555">
            <v>0</v>
          </cell>
        </row>
        <row r="556">
          <cell r="D556">
            <v>0</v>
          </cell>
        </row>
        <row r="557">
          <cell r="D557">
            <v>0</v>
          </cell>
        </row>
        <row r="558">
          <cell r="D558">
            <v>0</v>
          </cell>
        </row>
        <row r="559">
          <cell r="D559">
            <v>0</v>
          </cell>
        </row>
        <row r="560">
          <cell r="D560">
            <v>0</v>
          </cell>
        </row>
        <row r="561">
          <cell r="D561">
            <v>0</v>
          </cell>
        </row>
        <row r="562">
          <cell r="D562">
            <v>0</v>
          </cell>
        </row>
        <row r="563">
          <cell r="D563">
            <v>0</v>
          </cell>
        </row>
        <row r="564">
          <cell r="D564">
            <v>0</v>
          </cell>
        </row>
        <row r="565">
          <cell r="D565">
            <v>0</v>
          </cell>
        </row>
        <row r="566">
          <cell r="D566">
            <v>0</v>
          </cell>
        </row>
        <row r="567">
          <cell r="D567">
            <v>0</v>
          </cell>
        </row>
        <row r="568">
          <cell r="D568">
            <v>3407023</v>
          </cell>
          <cell r="E568">
            <v>3407023</v>
          </cell>
          <cell r="F568" t="str">
            <v>M/B</v>
          </cell>
          <cell r="G568" t="str">
            <v>M/B RED 4996A</v>
          </cell>
        </row>
        <row r="569">
          <cell r="D569">
            <v>0</v>
          </cell>
        </row>
        <row r="570">
          <cell r="D570">
            <v>0</v>
          </cell>
        </row>
        <row r="571">
          <cell r="D571">
            <v>3407103</v>
          </cell>
          <cell r="E571">
            <v>3407103</v>
          </cell>
          <cell r="F571" t="str">
            <v>ABS</v>
          </cell>
          <cell r="G571" t="str">
            <v>GP35</v>
          </cell>
        </row>
        <row r="572">
          <cell r="D572">
            <v>0</v>
          </cell>
        </row>
        <row r="573">
          <cell r="D573">
            <v>0</v>
          </cell>
        </row>
        <row r="574">
          <cell r="D574">
            <v>0</v>
          </cell>
        </row>
        <row r="575">
          <cell r="D575">
            <v>0</v>
          </cell>
        </row>
        <row r="576">
          <cell r="D576">
            <v>0</v>
          </cell>
        </row>
        <row r="577">
          <cell r="D577">
            <v>3407109</v>
          </cell>
          <cell r="E577">
            <v>3407109</v>
          </cell>
          <cell r="F577" t="str">
            <v>ABS</v>
          </cell>
          <cell r="G577" t="str">
            <v>HF380G</v>
          </cell>
        </row>
        <row r="578">
          <cell r="D578">
            <v>0</v>
          </cell>
        </row>
        <row r="579">
          <cell r="D579">
            <v>0</v>
          </cell>
        </row>
        <row r="580">
          <cell r="D580">
            <v>0</v>
          </cell>
        </row>
        <row r="581">
          <cell r="D581">
            <v>0</v>
          </cell>
        </row>
        <row r="582">
          <cell r="D582">
            <v>3407114</v>
          </cell>
          <cell r="E582">
            <v>3407114</v>
          </cell>
        </row>
        <row r="583">
          <cell r="D583">
            <v>3407115</v>
          </cell>
          <cell r="E583">
            <v>3407115</v>
          </cell>
        </row>
        <row r="584">
          <cell r="D584">
            <v>0</v>
          </cell>
        </row>
        <row r="585">
          <cell r="D585">
            <v>3402071</v>
          </cell>
          <cell r="E585">
            <v>3402071</v>
          </cell>
        </row>
        <row r="586">
          <cell r="D586">
            <v>3402081</v>
          </cell>
          <cell r="E586">
            <v>3402081</v>
          </cell>
        </row>
        <row r="587">
          <cell r="D587">
            <v>3402051</v>
          </cell>
          <cell r="E587">
            <v>3402051</v>
          </cell>
        </row>
        <row r="588">
          <cell r="D588">
            <v>0</v>
          </cell>
        </row>
        <row r="589">
          <cell r="D589">
            <v>3402105</v>
          </cell>
          <cell r="E589">
            <v>3402105</v>
          </cell>
          <cell r="F589" t="str">
            <v>mPPE</v>
          </cell>
          <cell r="G589" t="str">
            <v>mPPE JM-595M</v>
          </cell>
        </row>
        <row r="590">
          <cell r="D590">
            <v>3402108</v>
          </cell>
          <cell r="E590">
            <v>3402108</v>
          </cell>
          <cell r="F590" t="str">
            <v>mPPE</v>
          </cell>
          <cell r="G590" t="str">
            <v>mPPE JM-597M</v>
          </cell>
        </row>
        <row r="591">
          <cell r="D591">
            <v>3402107</v>
          </cell>
          <cell r="E591">
            <v>3402107</v>
          </cell>
          <cell r="F591" t="str">
            <v>mPPE</v>
          </cell>
          <cell r="G591" t="str">
            <v>mPPE JM-597L</v>
          </cell>
        </row>
        <row r="592">
          <cell r="D592">
            <v>3402104</v>
          </cell>
          <cell r="E592">
            <v>3402104</v>
          </cell>
          <cell r="F592" t="str">
            <v>mPPE</v>
          </cell>
          <cell r="G592" t="str">
            <v>mPPE JM-594L</v>
          </cell>
        </row>
        <row r="593">
          <cell r="D593">
            <v>3402201</v>
          </cell>
          <cell r="E593">
            <v>3402201</v>
          </cell>
        </row>
        <row r="594">
          <cell r="D594">
            <v>3402013</v>
          </cell>
          <cell r="E594" t="str">
            <v>3402013</v>
          </cell>
          <cell r="F594" t="str">
            <v>PPE VIRGIN</v>
          </cell>
          <cell r="G594" t="str">
            <v>PPE&lt;LXN-035&gt;</v>
          </cell>
        </row>
        <row r="595">
          <cell r="D595">
            <v>3403323</v>
          </cell>
          <cell r="E595">
            <v>3403323</v>
          </cell>
          <cell r="F595" t="str">
            <v>R재</v>
          </cell>
          <cell r="G595" t="str">
            <v>MPPO&lt;PK&gt;</v>
          </cell>
        </row>
        <row r="596">
          <cell r="D596">
            <v>3402035</v>
          </cell>
          <cell r="E596">
            <v>3402035</v>
          </cell>
          <cell r="F596" t="str">
            <v>PPE VIRGIN</v>
          </cell>
          <cell r="G596" t="str">
            <v>PPE&lt;LXR-035&gt;</v>
          </cell>
        </row>
        <row r="597">
          <cell r="D597">
            <v>3402016</v>
          </cell>
          <cell r="E597">
            <v>3402016</v>
          </cell>
          <cell r="F597" t="str">
            <v>PPE VIRGIN</v>
          </cell>
          <cell r="G597" t="str">
            <v>PPE&lt;LXN-045&gt;</v>
          </cell>
        </row>
        <row r="598">
          <cell r="D598">
            <v>3402014</v>
          </cell>
          <cell r="E598">
            <v>3402014</v>
          </cell>
          <cell r="F598" t="str">
            <v>PPE VIRGIN</v>
          </cell>
          <cell r="G598" t="str">
            <v>PPE&lt;LXN-040&gt;POWDER</v>
          </cell>
        </row>
        <row r="599">
          <cell r="D599">
            <v>3402015</v>
          </cell>
          <cell r="E599">
            <v>3402015</v>
          </cell>
          <cell r="F599" t="str">
            <v>PPE VIRGIN</v>
          </cell>
          <cell r="G599" t="str">
            <v>PPE&lt;LXN-040&gt;FLAKE</v>
          </cell>
        </row>
        <row r="600">
          <cell r="D600">
            <v>3402042</v>
          </cell>
          <cell r="E600" t="str">
            <v>3402042</v>
          </cell>
          <cell r="F600" t="str">
            <v>PPE VIRGIN</v>
          </cell>
          <cell r="G600" t="str">
            <v>PPE XB040</v>
          </cell>
        </row>
        <row r="601">
          <cell r="D601">
            <v>3403303</v>
          </cell>
          <cell r="E601">
            <v>3403303</v>
          </cell>
          <cell r="F601" t="str">
            <v>R재</v>
          </cell>
          <cell r="G601" t="str">
            <v>MPPO&lt;KC&gt;</v>
          </cell>
        </row>
        <row r="602">
          <cell r="D602">
            <v>3403305</v>
          </cell>
          <cell r="E602">
            <v>3403305</v>
          </cell>
          <cell r="F602" t="str">
            <v>R재</v>
          </cell>
          <cell r="G602" t="str">
            <v>MPPO&lt;S&gt;</v>
          </cell>
        </row>
        <row r="603">
          <cell r="D603">
            <v>3403307</v>
          </cell>
          <cell r="E603">
            <v>3403307</v>
          </cell>
          <cell r="F603" t="str">
            <v>R재</v>
          </cell>
          <cell r="G603" t="str">
            <v>MPPO S150</v>
          </cell>
        </row>
        <row r="604">
          <cell r="D604">
            <v>3403309</v>
          </cell>
          <cell r="E604">
            <v>3403309</v>
          </cell>
          <cell r="F604" t="str">
            <v>R재</v>
          </cell>
          <cell r="G604" t="str">
            <v>MPPO&lt;EK&gt;</v>
          </cell>
        </row>
        <row r="605">
          <cell r="D605">
            <v>3403311</v>
          </cell>
          <cell r="E605">
            <v>3403311</v>
          </cell>
          <cell r="F605" t="str">
            <v>R재</v>
          </cell>
          <cell r="G605" t="str">
            <v>MPPO&lt;DW&gt;</v>
          </cell>
        </row>
        <row r="606">
          <cell r="D606">
            <v>3403313</v>
          </cell>
          <cell r="E606">
            <v>3403313</v>
          </cell>
          <cell r="F606" t="str">
            <v>R재</v>
          </cell>
          <cell r="G606" t="str">
            <v>MPPO&lt;GF&gt;</v>
          </cell>
        </row>
        <row r="607">
          <cell r="D607">
            <v>3403306</v>
          </cell>
          <cell r="E607">
            <v>3403306</v>
          </cell>
          <cell r="F607" t="str">
            <v>R재</v>
          </cell>
          <cell r="G607" t="str">
            <v>MPPO&lt;LP&gt;</v>
          </cell>
        </row>
        <row r="608">
          <cell r="D608">
            <v>0</v>
          </cell>
        </row>
        <row r="609">
          <cell r="D609">
            <v>3403322</v>
          </cell>
          <cell r="E609">
            <v>3403322</v>
          </cell>
          <cell r="F609" t="str">
            <v>R재</v>
          </cell>
          <cell r="G609" t="str">
            <v>MPPO P (불용)</v>
          </cell>
        </row>
        <row r="610">
          <cell r="D610">
            <v>3403321</v>
          </cell>
          <cell r="E610">
            <v>3403321</v>
          </cell>
          <cell r="F610" t="str">
            <v>R재</v>
          </cell>
          <cell r="G610" t="str">
            <v>MPPO&lt;P&gt;</v>
          </cell>
        </row>
        <row r="611">
          <cell r="D611">
            <v>3403308</v>
          </cell>
          <cell r="E611">
            <v>3403308</v>
          </cell>
          <cell r="F611" t="str">
            <v>R재</v>
          </cell>
          <cell r="G611" t="str">
            <v>MPPO S (불용)</v>
          </cell>
        </row>
        <row r="612">
          <cell r="D612">
            <v>3403304</v>
          </cell>
          <cell r="E612">
            <v>3403304</v>
          </cell>
          <cell r="F612" t="str">
            <v>R재</v>
          </cell>
          <cell r="G612" t="str">
            <v>MPPO KC (불용)</v>
          </cell>
        </row>
        <row r="613">
          <cell r="D613">
            <v>3403312</v>
          </cell>
          <cell r="E613">
            <v>3403312</v>
          </cell>
          <cell r="F613" t="str">
            <v>R재</v>
          </cell>
          <cell r="G613" t="str">
            <v>MPPO DW (불용)</v>
          </cell>
        </row>
        <row r="614">
          <cell r="D614">
            <v>3403314</v>
          </cell>
          <cell r="E614">
            <v>3403314</v>
          </cell>
          <cell r="F614" t="str">
            <v>R재</v>
          </cell>
          <cell r="G614" t="str">
            <v>MPPO GF (불용)</v>
          </cell>
        </row>
        <row r="615">
          <cell r="D615">
            <v>3403310</v>
          </cell>
          <cell r="E615">
            <v>3403310</v>
          </cell>
          <cell r="F615" t="str">
            <v>R재</v>
          </cell>
          <cell r="G615" t="str">
            <v>MPPO LP (불용)</v>
          </cell>
        </row>
        <row r="616">
          <cell r="D616">
            <v>3404301</v>
          </cell>
          <cell r="E616">
            <v>3404301</v>
          </cell>
          <cell r="F616" t="str">
            <v>R재</v>
          </cell>
          <cell r="G616" t="str">
            <v>MPSU(DW)</v>
          </cell>
        </row>
        <row r="617">
          <cell r="D617">
            <v>3404302</v>
          </cell>
          <cell r="E617">
            <v>3404302</v>
          </cell>
          <cell r="F617" t="str">
            <v>R재</v>
          </cell>
          <cell r="G617" t="str">
            <v>MPSU(EK)</v>
          </cell>
        </row>
        <row r="618">
          <cell r="D618">
            <v>3404303</v>
          </cell>
          <cell r="E618">
            <v>3404303</v>
          </cell>
          <cell r="F618" t="str">
            <v>R재</v>
          </cell>
          <cell r="G618" t="str">
            <v>MPSU(B)</v>
          </cell>
        </row>
        <row r="619">
          <cell r="D619">
            <v>3404304</v>
          </cell>
          <cell r="E619">
            <v>3404304</v>
          </cell>
          <cell r="F619" t="str">
            <v>R재</v>
          </cell>
          <cell r="G619" t="str">
            <v>MPSU B (불용)</v>
          </cell>
        </row>
        <row r="620">
          <cell r="D620">
            <v>3410240</v>
          </cell>
          <cell r="E620">
            <v>3410240</v>
          </cell>
          <cell r="F620" t="str">
            <v>PE/POWDER</v>
          </cell>
          <cell r="G620" t="str">
            <v>HM080</v>
          </cell>
        </row>
        <row r="621">
          <cell r="D621">
            <v>3404305</v>
          </cell>
          <cell r="E621">
            <v>3404305</v>
          </cell>
          <cell r="F621" t="str">
            <v>R재</v>
          </cell>
          <cell r="G621" t="str">
            <v>MPSU DW (불용)</v>
          </cell>
        </row>
        <row r="622">
          <cell r="D622">
            <v>0</v>
          </cell>
        </row>
        <row r="623">
          <cell r="D623">
            <v>3410245</v>
          </cell>
          <cell r="E623">
            <v>3410245</v>
          </cell>
          <cell r="F623" t="str">
            <v>PB</v>
          </cell>
          <cell r="G623" t="str">
            <v>PB-1300</v>
          </cell>
        </row>
        <row r="624">
          <cell r="D624">
            <v>3410246</v>
          </cell>
          <cell r="E624">
            <v>3410246</v>
          </cell>
          <cell r="F624" t="str">
            <v>PB</v>
          </cell>
          <cell r="G624" t="str">
            <v>PB-2400</v>
          </cell>
        </row>
        <row r="625">
          <cell r="D625">
            <v>3409404</v>
          </cell>
          <cell r="E625">
            <v>3409404</v>
          </cell>
          <cell r="F625" t="str">
            <v>PC</v>
          </cell>
          <cell r="G625" t="str">
            <v>3020IR</v>
          </cell>
        </row>
        <row r="626">
          <cell r="D626">
            <v>3409402</v>
          </cell>
          <cell r="E626">
            <v>3409402</v>
          </cell>
          <cell r="F626" t="str">
            <v>PC</v>
          </cell>
          <cell r="G626" t="str">
            <v>3020A(T)</v>
          </cell>
        </row>
        <row r="627">
          <cell r="D627">
            <v>3409403</v>
          </cell>
          <cell r="E627">
            <v>3409403</v>
          </cell>
          <cell r="F627" t="str">
            <v>PC</v>
          </cell>
          <cell r="G627" t="str">
            <v>3020LI</v>
          </cell>
        </row>
        <row r="628">
          <cell r="D628">
            <v>3409105</v>
          </cell>
          <cell r="E628">
            <v>3409105</v>
          </cell>
          <cell r="F628" t="str">
            <v>PC</v>
          </cell>
          <cell r="G628" t="str">
            <v>1303-07</v>
          </cell>
        </row>
        <row r="629">
          <cell r="D629">
            <v>3409003</v>
          </cell>
          <cell r="E629">
            <v>3409003</v>
          </cell>
          <cell r="F629" t="str">
            <v>PC</v>
          </cell>
          <cell r="G629" t="str">
            <v>PC BK PELLET</v>
          </cell>
        </row>
        <row r="630">
          <cell r="D630">
            <v>3409107</v>
          </cell>
          <cell r="E630">
            <v>3409107</v>
          </cell>
          <cell r="F630" t="str">
            <v>PC</v>
          </cell>
          <cell r="G630" t="str">
            <v>1301-30</v>
          </cell>
        </row>
        <row r="631">
          <cell r="D631">
            <v>3409225</v>
          </cell>
          <cell r="E631">
            <v>3409225</v>
          </cell>
          <cell r="F631" t="str">
            <v>PC</v>
          </cell>
          <cell r="G631" t="str">
            <v>Teijin PC L-1225L</v>
          </cell>
        </row>
        <row r="632">
          <cell r="D632">
            <v>0</v>
          </cell>
        </row>
        <row r="633">
          <cell r="D633">
            <v>3409005</v>
          </cell>
          <cell r="E633">
            <v>3409005</v>
          </cell>
        </row>
        <row r="634">
          <cell r="D634">
            <v>3405105</v>
          </cell>
          <cell r="E634">
            <v>3405105</v>
          </cell>
          <cell r="F634" t="str">
            <v>PES</v>
          </cell>
          <cell r="G634" t="str">
            <v>PES(신A)E1010 PELLET</v>
          </cell>
        </row>
        <row r="635">
          <cell r="D635">
            <v>3410101</v>
          </cell>
          <cell r="E635">
            <v>3410101</v>
          </cell>
          <cell r="F635" t="str">
            <v>LLDPE</v>
          </cell>
          <cell r="G635" t="str">
            <v>HY7635</v>
          </cell>
        </row>
        <row r="636">
          <cell r="D636">
            <v>3411102</v>
          </cell>
          <cell r="E636">
            <v>3411102</v>
          </cell>
          <cell r="F636" t="str">
            <v>PES</v>
          </cell>
          <cell r="G636" t="str">
            <v>PES(신A)E3010 PELLET</v>
          </cell>
        </row>
        <row r="637">
          <cell r="D637">
            <v>0</v>
          </cell>
        </row>
        <row r="638">
          <cell r="D638">
            <v>3409301</v>
          </cell>
          <cell r="E638">
            <v>3409301</v>
          </cell>
        </row>
        <row r="639">
          <cell r="D639">
            <v>3405104</v>
          </cell>
          <cell r="E639">
            <v>3405104</v>
          </cell>
        </row>
        <row r="640">
          <cell r="D640">
            <v>3411104</v>
          </cell>
          <cell r="E640">
            <v>3411104</v>
          </cell>
          <cell r="F640" t="str">
            <v>PA</v>
          </cell>
          <cell r="G640" t="str">
            <v>S1515</v>
          </cell>
        </row>
        <row r="641">
          <cell r="D641">
            <v>3411103</v>
          </cell>
          <cell r="E641">
            <v>3411103</v>
          </cell>
          <cell r="F641" t="str">
            <v>PA</v>
          </cell>
          <cell r="G641" t="str">
            <v>CYD610</v>
          </cell>
        </row>
        <row r="642">
          <cell r="D642">
            <v>3425010</v>
          </cell>
          <cell r="E642">
            <v>3425010</v>
          </cell>
          <cell r="F642" t="str">
            <v>PBT</v>
          </cell>
          <cell r="G642" t="str">
            <v>1100HQ(B/S)</v>
          </cell>
        </row>
        <row r="643">
          <cell r="D643">
            <v>3405102</v>
          </cell>
          <cell r="E643">
            <v>3405102</v>
          </cell>
          <cell r="F643" t="str">
            <v>PES</v>
          </cell>
          <cell r="G643" t="str">
            <v>PES(신A)E1010 E2010 PELLET</v>
          </cell>
        </row>
        <row r="644">
          <cell r="D644">
            <v>3405100</v>
          </cell>
          <cell r="E644">
            <v>3405100</v>
          </cell>
          <cell r="F644" t="str">
            <v>PES</v>
          </cell>
          <cell r="G644" t="str">
            <v>PES(신B)E2010+GF</v>
          </cell>
        </row>
        <row r="645">
          <cell r="D645">
            <v>3405101</v>
          </cell>
          <cell r="E645">
            <v>3405101</v>
          </cell>
          <cell r="F645" t="str">
            <v>PES</v>
          </cell>
          <cell r="G645" t="str">
            <v>PES(신A)E2010 PELLET</v>
          </cell>
        </row>
        <row r="646">
          <cell r="D646">
            <v>3405132</v>
          </cell>
          <cell r="E646">
            <v>3405132</v>
          </cell>
          <cell r="F646" t="str">
            <v>PES</v>
          </cell>
          <cell r="G646" t="str">
            <v>PES(신B)PELLET</v>
          </cell>
        </row>
        <row r="647">
          <cell r="D647">
            <v>3405131</v>
          </cell>
          <cell r="E647">
            <v>3405131</v>
          </cell>
          <cell r="F647" t="str">
            <v>PES</v>
          </cell>
          <cell r="G647" t="str">
            <v>PES(신B)</v>
          </cell>
        </row>
        <row r="648">
          <cell r="D648">
            <v>3405141</v>
          </cell>
          <cell r="E648">
            <v>3405141</v>
          </cell>
          <cell r="F648" t="str">
            <v>R재</v>
          </cell>
          <cell r="G648" t="str">
            <v>PES(B)</v>
          </cell>
        </row>
        <row r="649">
          <cell r="D649">
            <v>3405142</v>
          </cell>
          <cell r="E649">
            <v>3405142</v>
          </cell>
          <cell r="F649" t="str">
            <v>R재</v>
          </cell>
          <cell r="G649" t="str">
            <v>PES(B)재검사</v>
          </cell>
        </row>
        <row r="650">
          <cell r="D650">
            <v>3405111</v>
          </cell>
          <cell r="E650">
            <v>3405111</v>
          </cell>
          <cell r="F650" t="str">
            <v>PES</v>
          </cell>
          <cell r="G650" t="str">
            <v>PES(E2010 NC)</v>
          </cell>
        </row>
        <row r="651">
          <cell r="D651">
            <v>3405143</v>
          </cell>
          <cell r="E651">
            <v>3405143</v>
          </cell>
          <cell r="F651" t="str">
            <v>R재</v>
          </cell>
          <cell r="G651" t="str">
            <v>PES B (불용)</v>
          </cell>
        </row>
        <row r="652">
          <cell r="D652">
            <v>3404403</v>
          </cell>
          <cell r="E652">
            <v>3404403</v>
          </cell>
        </row>
        <row r="653">
          <cell r="D653">
            <v>3409109</v>
          </cell>
          <cell r="E653" t="str">
            <v>3409109</v>
          </cell>
          <cell r="F653" t="str">
            <v>PC</v>
          </cell>
          <cell r="G653" t="str">
            <v>PC 1300-03GA(OFF)</v>
          </cell>
        </row>
        <row r="654">
          <cell r="D654">
            <v>3427001</v>
          </cell>
          <cell r="E654">
            <v>3427001</v>
          </cell>
        </row>
        <row r="655">
          <cell r="D655">
            <v>3410211</v>
          </cell>
          <cell r="E655">
            <v>3410211</v>
          </cell>
          <cell r="F655" t="str">
            <v>HDPE</v>
          </cell>
          <cell r="G655" t="str">
            <v>F920A</v>
          </cell>
        </row>
        <row r="656">
          <cell r="D656">
            <v>3410221</v>
          </cell>
          <cell r="E656">
            <v>3410221</v>
          </cell>
          <cell r="F656" t="str">
            <v>HDPE</v>
          </cell>
          <cell r="G656" t="str">
            <v>E308T</v>
          </cell>
        </row>
        <row r="657">
          <cell r="D657">
            <v>3410000</v>
          </cell>
          <cell r="E657">
            <v>3410000</v>
          </cell>
          <cell r="F657" t="str">
            <v>HDPE</v>
          </cell>
          <cell r="G657" t="str">
            <v>C828A</v>
          </cell>
        </row>
        <row r="658">
          <cell r="D658">
            <v>3410201</v>
          </cell>
          <cell r="E658">
            <v>3410201</v>
          </cell>
          <cell r="F658" t="str">
            <v>HDPE</v>
          </cell>
          <cell r="G658" t="str">
            <v>B230A</v>
          </cell>
        </row>
        <row r="659">
          <cell r="D659">
            <v>0</v>
          </cell>
        </row>
        <row r="660">
          <cell r="D660">
            <v>3499002</v>
          </cell>
          <cell r="E660">
            <v>3499002</v>
          </cell>
        </row>
        <row r="661">
          <cell r="D661">
            <v>3412201</v>
          </cell>
          <cell r="E661">
            <v>3412201</v>
          </cell>
        </row>
        <row r="662">
          <cell r="D662">
            <v>3412203</v>
          </cell>
          <cell r="E662">
            <v>3412203</v>
          </cell>
        </row>
        <row r="663">
          <cell r="D663">
            <v>3412205</v>
          </cell>
          <cell r="E663">
            <v>3412205</v>
          </cell>
          <cell r="F663" t="str">
            <v>PP</v>
          </cell>
          <cell r="G663" t="str">
            <v>J800</v>
          </cell>
        </row>
        <row r="664">
          <cell r="D664">
            <v>3412207</v>
          </cell>
          <cell r="E664">
            <v>3412207</v>
          </cell>
          <cell r="F664" t="str">
            <v>PP</v>
          </cell>
          <cell r="G664" t="str">
            <v>RJ770</v>
          </cell>
        </row>
        <row r="665">
          <cell r="D665">
            <v>3412208</v>
          </cell>
          <cell r="E665">
            <v>3412208</v>
          </cell>
          <cell r="F665" t="str">
            <v>PP</v>
          </cell>
          <cell r="G665" t="str">
            <v>HM2089</v>
          </cell>
        </row>
        <row r="666">
          <cell r="D666">
            <v>3412101</v>
          </cell>
          <cell r="E666">
            <v>3412101</v>
          </cell>
          <cell r="F666" t="str">
            <v>PP</v>
          </cell>
          <cell r="G666" t="str">
            <v>CB5108</v>
          </cell>
        </row>
        <row r="667">
          <cell r="D667">
            <v>3412103</v>
          </cell>
          <cell r="E667">
            <v>3412103</v>
          </cell>
        </row>
        <row r="668">
          <cell r="D668">
            <v>3422002</v>
          </cell>
          <cell r="E668">
            <v>3422002</v>
          </cell>
          <cell r="F668" t="str">
            <v>EVA</v>
          </cell>
          <cell r="G668" t="str">
            <v>EVA VC590</v>
          </cell>
        </row>
        <row r="669">
          <cell r="D669">
            <v>3422001</v>
          </cell>
          <cell r="E669">
            <v>3422001</v>
          </cell>
          <cell r="F669" t="str">
            <v>EVA</v>
          </cell>
          <cell r="G669" t="str">
            <v>EVA VC640</v>
          </cell>
        </row>
        <row r="670">
          <cell r="D670">
            <v>3422050</v>
          </cell>
          <cell r="E670">
            <v>3422050</v>
          </cell>
          <cell r="F670" t="str">
            <v>EBA</v>
          </cell>
          <cell r="G670" t="str">
            <v>EBA E1770</v>
          </cell>
        </row>
        <row r="671">
          <cell r="D671">
            <v>3412701</v>
          </cell>
          <cell r="E671">
            <v>3412701</v>
          </cell>
        </row>
        <row r="672">
          <cell r="D672">
            <v>3406108</v>
          </cell>
          <cell r="E672">
            <v>3406108</v>
          </cell>
          <cell r="F672" t="str">
            <v>R재</v>
          </cell>
          <cell r="G672" t="str">
            <v>PPE B (불용)</v>
          </cell>
        </row>
        <row r="673">
          <cell r="D673">
            <v>3406109</v>
          </cell>
          <cell r="E673">
            <v>3406109</v>
          </cell>
          <cell r="F673" t="str">
            <v>R재</v>
          </cell>
          <cell r="G673" t="str">
            <v>PPE SH (불용)</v>
          </cell>
        </row>
        <row r="674">
          <cell r="D674">
            <v>3406110</v>
          </cell>
          <cell r="E674">
            <v>3406110</v>
          </cell>
          <cell r="F674" t="str">
            <v>R재</v>
          </cell>
          <cell r="G674" t="str">
            <v>PPE A (불용)</v>
          </cell>
        </row>
        <row r="675">
          <cell r="D675">
            <v>3406113</v>
          </cell>
          <cell r="E675">
            <v>3406113</v>
          </cell>
          <cell r="F675" t="str">
            <v>R재</v>
          </cell>
          <cell r="G675" t="str">
            <v>PPE EL (불용)</v>
          </cell>
        </row>
        <row r="676">
          <cell r="D676">
            <v>3406112</v>
          </cell>
          <cell r="E676">
            <v>3406112</v>
          </cell>
          <cell r="F676" t="str">
            <v>R재</v>
          </cell>
          <cell r="G676" t="str">
            <v>PPE P (불용)</v>
          </cell>
        </row>
        <row r="677">
          <cell r="D677">
            <v>3406102</v>
          </cell>
          <cell r="E677">
            <v>3406102</v>
          </cell>
          <cell r="F677" t="str">
            <v>R재</v>
          </cell>
          <cell r="G677" t="str">
            <v>PPE A-RE</v>
          </cell>
        </row>
        <row r="678">
          <cell r="D678">
            <v>3406101</v>
          </cell>
          <cell r="E678">
            <v>3406101</v>
          </cell>
          <cell r="F678" t="str">
            <v>R재</v>
          </cell>
          <cell r="G678" t="str">
            <v>PPE&lt;B&gt;</v>
          </cell>
        </row>
        <row r="679">
          <cell r="D679">
            <v>3406103</v>
          </cell>
          <cell r="E679">
            <v>3406103</v>
          </cell>
          <cell r="F679" t="str">
            <v>R재</v>
          </cell>
          <cell r="G679" t="str">
            <v>PPE&lt;SH&gt;</v>
          </cell>
        </row>
        <row r="680">
          <cell r="D680">
            <v>3406105</v>
          </cell>
          <cell r="E680">
            <v>3406105</v>
          </cell>
          <cell r="F680" t="str">
            <v>R재</v>
          </cell>
          <cell r="G680" t="str">
            <v>PPE&lt;A&gt;</v>
          </cell>
        </row>
        <row r="681">
          <cell r="D681">
            <v>3402040</v>
          </cell>
          <cell r="E681">
            <v>3402040</v>
          </cell>
          <cell r="F681" t="str">
            <v>PPE VIRGIN</v>
          </cell>
          <cell r="G681" t="str">
            <v>PPE&lt;LXR-040C&gt;</v>
          </cell>
        </row>
        <row r="682">
          <cell r="D682">
            <v>3479205</v>
          </cell>
          <cell r="E682">
            <v>3479205</v>
          </cell>
          <cell r="F682" t="str">
            <v>R재</v>
          </cell>
          <cell r="G682" t="str">
            <v>PPE&lt;C&gt;</v>
          </cell>
        </row>
        <row r="683">
          <cell r="D683">
            <v>3406107</v>
          </cell>
          <cell r="E683">
            <v>3406107</v>
          </cell>
          <cell r="F683" t="str">
            <v>R재</v>
          </cell>
          <cell r="G683" t="str">
            <v>PPE&lt;EL&gt;</v>
          </cell>
        </row>
        <row r="684">
          <cell r="D684">
            <v>3406121</v>
          </cell>
          <cell r="E684">
            <v>3406121</v>
          </cell>
          <cell r="F684" t="str">
            <v>R재</v>
          </cell>
          <cell r="G684" t="str">
            <v>PPE&lt;P&gt;</v>
          </cell>
        </row>
        <row r="685">
          <cell r="D685">
            <v>3406122</v>
          </cell>
          <cell r="E685">
            <v>3406122</v>
          </cell>
          <cell r="G685" t="str">
            <v>PPE&lt;PK&gt;</v>
          </cell>
        </row>
        <row r="686">
          <cell r="D686">
            <v>3413101</v>
          </cell>
          <cell r="E686">
            <v>3413101</v>
          </cell>
          <cell r="F686" t="str">
            <v>PS</v>
          </cell>
          <cell r="G686" t="str">
            <v>JM-7600BK</v>
          </cell>
        </row>
        <row r="687">
          <cell r="D687">
            <v>0</v>
          </cell>
        </row>
        <row r="688">
          <cell r="D688">
            <v>0</v>
          </cell>
        </row>
        <row r="689">
          <cell r="D689">
            <v>3413151</v>
          </cell>
          <cell r="E689">
            <v>3413151</v>
          </cell>
          <cell r="F689" t="str">
            <v>PS</v>
          </cell>
          <cell r="G689" t="str">
            <v>JM-722</v>
          </cell>
        </row>
        <row r="690">
          <cell r="D690">
            <v>3413010</v>
          </cell>
          <cell r="E690">
            <v>3413010</v>
          </cell>
          <cell r="F690" t="str">
            <v>HIPS</v>
          </cell>
          <cell r="G690" t="str">
            <v>476L</v>
          </cell>
        </row>
        <row r="691">
          <cell r="D691">
            <v>3413003</v>
          </cell>
          <cell r="E691">
            <v>3413003</v>
          </cell>
          <cell r="F691" t="str">
            <v>HIPS</v>
          </cell>
          <cell r="G691" t="str">
            <v>HIPS(425TVL)</v>
          </cell>
        </row>
        <row r="692">
          <cell r="D692">
            <v>3413022</v>
          </cell>
          <cell r="E692" t="str">
            <v>3413022</v>
          </cell>
          <cell r="F692" t="str">
            <v>HIPS</v>
          </cell>
          <cell r="G692" t="str">
            <v>H-6161DM</v>
          </cell>
        </row>
        <row r="693">
          <cell r="D693">
            <v>3413002</v>
          </cell>
          <cell r="E693">
            <v>3413002</v>
          </cell>
          <cell r="F693" t="str">
            <v>HIPS</v>
          </cell>
          <cell r="G693" t="str">
            <v>HIPS(425TV)</v>
          </cell>
        </row>
        <row r="694">
          <cell r="D694">
            <v>3413221</v>
          </cell>
          <cell r="E694" t="str">
            <v>3413221</v>
          </cell>
          <cell r="F694" t="str">
            <v>GPPS</v>
          </cell>
          <cell r="G694" t="str">
            <v>G-1160G</v>
          </cell>
        </row>
        <row r="695">
          <cell r="D695">
            <v>3413021</v>
          </cell>
          <cell r="E695">
            <v>3413021</v>
          </cell>
          <cell r="F695" t="str">
            <v>GPPS</v>
          </cell>
          <cell r="G695" t="str">
            <v>GP150K</v>
          </cell>
        </row>
        <row r="696">
          <cell r="D696">
            <v>3413008</v>
          </cell>
          <cell r="E696">
            <v>3413008</v>
          </cell>
          <cell r="F696" t="str">
            <v>HIPS</v>
          </cell>
          <cell r="G696" t="str">
            <v>HIPS(H835)</v>
          </cell>
        </row>
        <row r="697">
          <cell r="D697">
            <v>3413007</v>
          </cell>
          <cell r="E697">
            <v>3413007</v>
          </cell>
          <cell r="F697" t="str">
            <v>HIPS</v>
          </cell>
          <cell r="G697" t="str">
            <v>HIPS(425E)</v>
          </cell>
        </row>
        <row r="698">
          <cell r="D698">
            <v>3413121</v>
          </cell>
          <cell r="E698">
            <v>3413121</v>
          </cell>
          <cell r="F698" t="str">
            <v>GPPS</v>
          </cell>
          <cell r="G698" t="str">
            <v>PS  GPPS_RE</v>
          </cell>
        </row>
        <row r="699">
          <cell r="D699">
            <v>3413009</v>
          </cell>
          <cell r="E699">
            <v>3413009</v>
          </cell>
          <cell r="F699" t="str">
            <v>HIPS</v>
          </cell>
          <cell r="G699">
            <v>2710</v>
          </cell>
        </row>
        <row r="700">
          <cell r="D700">
            <v>3499005</v>
          </cell>
          <cell r="E700">
            <v>3499005</v>
          </cell>
        </row>
        <row r="701">
          <cell r="D701">
            <v>0</v>
          </cell>
        </row>
        <row r="702">
          <cell r="D702">
            <v>3413201</v>
          </cell>
          <cell r="E702">
            <v>3413201</v>
          </cell>
          <cell r="F702" t="str">
            <v>M/B</v>
          </cell>
          <cell r="G702" t="str">
            <v>802H</v>
          </cell>
        </row>
        <row r="703">
          <cell r="D703">
            <v>3429106</v>
          </cell>
          <cell r="E703">
            <v>3429106</v>
          </cell>
          <cell r="F703" t="str">
            <v>(코팅액)PEDOT</v>
          </cell>
          <cell r="G703" t="str">
            <v>G6</v>
          </cell>
        </row>
        <row r="704">
          <cell r="D704">
            <v>3413351</v>
          </cell>
          <cell r="E704">
            <v>3413351</v>
          </cell>
          <cell r="F704" t="str">
            <v>PS</v>
          </cell>
          <cell r="G704" t="str">
            <v>PS&lt;B2&gt;</v>
          </cell>
        </row>
        <row r="705">
          <cell r="D705">
            <v>3413371</v>
          </cell>
          <cell r="E705">
            <v>3413371</v>
          </cell>
          <cell r="F705" t="str">
            <v>PS</v>
          </cell>
          <cell r="G705" t="str">
            <v>PS&lt;S1&gt;</v>
          </cell>
        </row>
        <row r="706">
          <cell r="D706">
            <v>3413361</v>
          </cell>
          <cell r="E706">
            <v>3413361</v>
          </cell>
          <cell r="F706" t="str">
            <v>PS</v>
          </cell>
          <cell r="G706" t="str">
            <v>PS&lt;신B3&gt;</v>
          </cell>
        </row>
        <row r="707">
          <cell r="D707">
            <v>3413308</v>
          </cell>
          <cell r="E707">
            <v>3413308</v>
          </cell>
          <cell r="F707" t="str">
            <v>PS</v>
          </cell>
          <cell r="G707" t="str">
            <v>PS&lt;신B&gt;D1</v>
          </cell>
        </row>
        <row r="708">
          <cell r="D708">
            <v>3413301</v>
          </cell>
          <cell r="E708">
            <v>3413301</v>
          </cell>
          <cell r="F708" t="str">
            <v>PS</v>
          </cell>
          <cell r="G708" t="str">
            <v>PS&lt;신B&gt;A1</v>
          </cell>
        </row>
        <row r="709">
          <cell r="D709">
            <v>3413303</v>
          </cell>
          <cell r="E709">
            <v>3413303</v>
          </cell>
          <cell r="F709" t="str">
            <v>PS</v>
          </cell>
          <cell r="G709" t="str">
            <v>PS&lt;신B&gt;C1</v>
          </cell>
        </row>
        <row r="710">
          <cell r="D710">
            <v>3413305</v>
          </cell>
          <cell r="E710">
            <v>3413305</v>
          </cell>
          <cell r="F710" t="str">
            <v>PS</v>
          </cell>
          <cell r="G710" t="str">
            <v>PS&lt;신B&gt;B1</v>
          </cell>
        </row>
        <row r="711">
          <cell r="D711">
            <v>3413304</v>
          </cell>
          <cell r="E711">
            <v>3413304</v>
          </cell>
          <cell r="F711" t="str">
            <v>PS</v>
          </cell>
          <cell r="G711" t="str">
            <v>PS&lt;신B&gt;C2</v>
          </cell>
        </row>
        <row r="712">
          <cell r="D712">
            <v>3413306</v>
          </cell>
          <cell r="E712">
            <v>3413306</v>
          </cell>
          <cell r="F712" t="str">
            <v>PS</v>
          </cell>
          <cell r="G712" t="str">
            <v>PS&lt;신B&gt;미색</v>
          </cell>
        </row>
        <row r="713">
          <cell r="D713">
            <v>3404401</v>
          </cell>
          <cell r="E713">
            <v>3404401</v>
          </cell>
          <cell r="F713" t="str">
            <v>PSU</v>
          </cell>
          <cell r="G713" t="str">
            <v>PSU(신B)</v>
          </cell>
        </row>
        <row r="714">
          <cell r="D714">
            <v>3404402</v>
          </cell>
          <cell r="E714">
            <v>3404402</v>
          </cell>
          <cell r="F714" t="str">
            <v>PSU</v>
          </cell>
          <cell r="G714" t="str">
            <v>PSU(신B)PELLET</v>
          </cell>
        </row>
        <row r="715">
          <cell r="D715">
            <v>3413307</v>
          </cell>
          <cell r="E715">
            <v>3413307</v>
          </cell>
        </row>
        <row r="716">
          <cell r="D716">
            <v>3429020</v>
          </cell>
          <cell r="E716">
            <v>3429020</v>
          </cell>
          <cell r="F716" t="str">
            <v>(코팅)슬립제</v>
          </cell>
          <cell r="G716" t="str">
            <v>MODAREZ K-SL107</v>
          </cell>
        </row>
        <row r="717">
          <cell r="D717">
            <v>3479005</v>
          </cell>
          <cell r="E717">
            <v>3479005</v>
          </cell>
          <cell r="F717" t="str">
            <v>상용화제</v>
          </cell>
          <cell r="G717" t="str">
            <v>SAM-020</v>
          </cell>
        </row>
        <row r="718">
          <cell r="D718">
            <v>3479001</v>
          </cell>
          <cell r="E718">
            <v>3479001</v>
          </cell>
        </row>
        <row r="719">
          <cell r="D719">
            <v>3416001</v>
          </cell>
          <cell r="E719">
            <v>3416001</v>
          </cell>
          <cell r="F719" t="str">
            <v>EMA</v>
          </cell>
          <cell r="G719" t="str">
            <v>1330AC</v>
          </cell>
        </row>
        <row r="720">
          <cell r="D720">
            <v>3414064</v>
          </cell>
          <cell r="E720">
            <v>3414064</v>
          </cell>
        </row>
        <row r="721">
          <cell r="D721">
            <v>3414086</v>
          </cell>
          <cell r="E721">
            <v>3414086</v>
          </cell>
          <cell r="F721" t="str">
            <v>SEBS</v>
          </cell>
          <cell r="G721" t="str">
            <v>YJ-5085AKG</v>
          </cell>
        </row>
        <row r="722">
          <cell r="D722">
            <v>3414085</v>
          </cell>
          <cell r="E722">
            <v>3414085</v>
          </cell>
          <cell r="F722" t="str">
            <v>SEBS</v>
          </cell>
          <cell r="G722" t="str">
            <v>YJ-5085AN</v>
          </cell>
        </row>
        <row r="723">
          <cell r="D723">
            <v>3414117</v>
          </cell>
          <cell r="E723">
            <v>3414117</v>
          </cell>
          <cell r="F723" t="str">
            <v>SEBS</v>
          </cell>
          <cell r="G723" t="str">
            <v>LCY7550</v>
          </cell>
        </row>
        <row r="724">
          <cell r="D724">
            <v>3414101</v>
          </cell>
          <cell r="E724">
            <v>3414101</v>
          </cell>
          <cell r="F724" t="str">
            <v>SEBS</v>
          </cell>
          <cell r="G724" t="str">
            <v>TSRC 6152</v>
          </cell>
        </row>
        <row r="725">
          <cell r="D725">
            <v>3414102</v>
          </cell>
          <cell r="E725">
            <v>3414102</v>
          </cell>
          <cell r="F725" t="str">
            <v>SEBS</v>
          </cell>
          <cell r="G725" t="str">
            <v>TSRC 6151</v>
          </cell>
        </row>
        <row r="726">
          <cell r="D726">
            <v>3415114</v>
          </cell>
          <cell r="E726">
            <v>3415114</v>
          </cell>
          <cell r="F726" t="str">
            <v>SBS</v>
          </cell>
          <cell r="G726" t="str">
            <v>LCY3536</v>
          </cell>
        </row>
        <row r="727">
          <cell r="D727">
            <v>3414121</v>
          </cell>
          <cell r="E727">
            <v>3414121</v>
          </cell>
          <cell r="F727" t="str">
            <v>SBS</v>
          </cell>
          <cell r="G727" t="str">
            <v>KTR-201</v>
          </cell>
        </row>
        <row r="728">
          <cell r="D728">
            <v>3414131</v>
          </cell>
          <cell r="E728">
            <v>3414131</v>
          </cell>
        </row>
        <row r="729">
          <cell r="D729">
            <v>3479007</v>
          </cell>
          <cell r="E729">
            <v>3479007</v>
          </cell>
          <cell r="F729" t="str">
            <v>PDMS</v>
          </cell>
          <cell r="G729" t="str">
            <v>SLIP 230H</v>
          </cell>
        </row>
        <row r="730">
          <cell r="D730">
            <v>3414103</v>
          </cell>
          <cell r="E730">
            <v>3414103</v>
          </cell>
          <cell r="F730" t="str">
            <v>SBS</v>
          </cell>
          <cell r="G730" t="str">
            <v>YH791E</v>
          </cell>
        </row>
        <row r="731">
          <cell r="D731">
            <v>3414104</v>
          </cell>
          <cell r="E731">
            <v>3414104</v>
          </cell>
          <cell r="F731" t="str">
            <v>SEBS</v>
          </cell>
          <cell r="G731" t="str">
            <v>YH501T</v>
          </cell>
        </row>
        <row r="732">
          <cell r="D732">
            <v>3408160</v>
          </cell>
          <cell r="E732">
            <v>3408160</v>
          </cell>
          <cell r="F732" t="str">
            <v>PA6</v>
          </cell>
          <cell r="G732" t="str">
            <v>KN163HI</v>
          </cell>
        </row>
        <row r="733">
          <cell r="D733">
            <v>3408161</v>
          </cell>
          <cell r="E733">
            <v>3408161</v>
          </cell>
          <cell r="F733" t="str">
            <v>PPA</v>
          </cell>
          <cell r="G733" t="str">
            <v>N-100</v>
          </cell>
        </row>
        <row r="734">
          <cell r="D734">
            <v>3408133</v>
          </cell>
          <cell r="E734">
            <v>3408133</v>
          </cell>
        </row>
        <row r="735">
          <cell r="D735">
            <v>3416021</v>
          </cell>
          <cell r="E735">
            <v>3416021</v>
          </cell>
          <cell r="F735" t="str">
            <v>충격보강제</v>
          </cell>
          <cell r="G735" t="str">
            <v>VM-6202</v>
          </cell>
        </row>
        <row r="736">
          <cell r="D736">
            <v>0</v>
          </cell>
        </row>
        <row r="737">
          <cell r="D737">
            <v>3460002</v>
          </cell>
          <cell r="E737">
            <v>3460002</v>
          </cell>
          <cell r="F737" t="str">
            <v>PTFE</v>
          </cell>
          <cell r="G737" t="str">
            <v>PTFE(TP202)</v>
          </cell>
        </row>
        <row r="738">
          <cell r="D738">
            <v>3460001</v>
          </cell>
          <cell r="E738">
            <v>3460001</v>
          </cell>
          <cell r="F738" t="str">
            <v>PTFE</v>
          </cell>
          <cell r="G738" t="str">
            <v>PTFE37E</v>
          </cell>
        </row>
        <row r="739">
          <cell r="D739">
            <v>3460003</v>
          </cell>
          <cell r="E739" t="str">
            <v>3460003</v>
          </cell>
          <cell r="F739" t="str">
            <v>PTFE</v>
          </cell>
          <cell r="G739" t="str">
            <v>PTFE NSF-25</v>
          </cell>
        </row>
        <row r="740">
          <cell r="D740">
            <v>3499008</v>
          </cell>
          <cell r="E740">
            <v>3499008</v>
          </cell>
        </row>
        <row r="741">
          <cell r="D741">
            <v>3451004</v>
          </cell>
          <cell r="E741">
            <v>3451004</v>
          </cell>
          <cell r="F741" t="str">
            <v>산화방지제</v>
          </cell>
          <cell r="G741" t="str">
            <v>Mianto S(DSTDP)</v>
          </cell>
        </row>
        <row r="742">
          <cell r="D742">
            <v>3429101</v>
          </cell>
          <cell r="E742">
            <v>3429101</v>
          </cell>
        </row>
        <row r="743">
          <cell r="D743">
            <v>3416022</v>
          </cell>
          <cell r="E743">
            <v>3416022</v>
          </cell>
        </row>
        <row r="744">
          <cell r="D744">
            <v>0</v>
          </cell>
        </row>
        <row r="745">
          <cell r="D745">
            <v>3451005</v>
          </cell>
          <cell r="E745">
            <v>3451005</v>
          </cell>
          <cell r="F745" t="str">
            <v>A/O</v>
          </cell>
          <cell r="G745" t="str">
            <v>ANOX 20</v>
          </cell>
        </row>
        <row r="746">
          <cell r="D746">
            <v>3451003</v>
          </cell>
          <cell r="E746">
            <v>3451003</v>
          </cell>
          <cell r="F746" t="str">
            <v>A/O</v>
          </cell>
          <cell r="G746" t="str">
            <v>A/O-50</v>
          </cell>
        </row>
        <row r="747">
          <cell r="D747">
            <v>3451051</v>
          </cell>
          <cell r="E747" t="str">
            <v>3451051</v>
          </cell>
          <cell r="F747" t="str">
            <v>A/O</v>
          </cell>
          <cell r="G747" t="str">
            <v>Songnox1010PW</v>
          </cell>
        </row>
        <row r="748">
          <cell r="D748">
            <v>3451006</v>
          </cell>
          <cell r="E748">
            <v>3451006</v>
          </cell>
          <cell r="F748" t="str">
            <v>A/O</v>
          </cell>
          <cell r="G748" t="str">
            <v>A/O-60</v>
          </cell>
        </row>
        <row r="749">
          <cell r="D749">
            <v>3451052</v>
          </cell>
          <cell r="E749">
            <v>3451052</v>
          </cell>
          <cell r="F749" t="str">
            <v>A/O</v>
          </cell>
          <cell r="G749" t="str">
            <v>Songnox1680PW</v>
          </cell>
        </row>
        <row r="750">
          <cell r="D750">
            <v>3452001</v>
          </cell>
          <cell r="E750">
            <v>3452001</v>
          </cell>
        </row>
        <row r="751">
          <cell r="D751">
            <v>3479207</v>
          </cell>
          <cell r="E751">
            <v>3479207</v>
          </cell>
          <cell r="F751" t="str">
            <v>염료</v>
          </cell>
          <cell r="G751" t="str">
            <v>BLUE 2B(BLUE 13)</v>
          </cell>
        </row>
        <row r="752">
          <cell r="D752">
            <v>3452003</v>
          </cell>
          <cell r="E752">
            <v>3452003</v>
          </cell>
          <cell r="F752" t="str">
            <v>염료</v>
          </cell>
          <cell r="G752" t="str">
            <v>RED BB</v>
          </cell>
        </row>
        <row r="753">
          <cell r="D753">
            <v>3452004</v>
          </cell>
          <cell r="E753">
            <v>3452004</v>
          </cell>
          <cell r="F753" t="str">
            <v>염료</v>
          </cell>
          <cell r="G753" t="str">
            <v>RED G</v>
          </cell>
        </row>
        <row r="754">
          <cell r="D754">
            <v>3452005</v>
          </cell>
          <cell r="E754">
            <v>3452005</v>
          </cell>
          <cell r="F754" t="str">
            <v>염료</v>
          </cell>
          <cell r="G754" t="str">
            <v>VIOLET-59</v>
          </cell>
        </row>
        <row r="755">
          <cell r="D755">
            <v>3452006</v>
          </cell>
          <cell r="E755">
            <v>3452006</v>
          </cell>
          <cell r="F755" t="str">
            <v>염료</v>
          </cell>
          <cell r="G755" t="str">
            <v>YELLOW2G(114)</v>
          </cell>
        </row>
        <row r="756">
          <cell r="D756">
            <v>3452007</v>
          </cell>
          <cell r="E756">
            <v>3452007</v>
          </cell>
          <cell r="F756" t="str">
            <v>염료</v>
          </cell>
          <cell r="G756" t="str">
            <v>P.YELLOW K1800</v>
          </cell>
        </row>
        <row r="757">
          <cell r="D757">
            <v>3452008</v>
          </cell>
          <cell r="E757">
            <v>3452008</v>
          </cell>
          <cell r="F757" t="str">
            <v>염료</v>
          </cell>
          <cell r="G757" t="str">
            <v>BLUE 97</v>
          </cell>
        </row>
        <row r="758">
          <cell r="D758">
            <v>0</v>
          </cell>
        </row>
        <row r="759">
          <cell r="D759">
            <v>0</v>
          </cell>
        </row>
        <row r="760">
          <cell r="D760">
            <v>0</v>
          </cell>
        </row>
        <row r="761">
          <cell r="D761">
            <v>0</v>
          </cell>
        </row>
        <row r="762">
          <cell r="D762">
            <v>3455033</v>
          </cell>
          <cell r="E762">
            <v>3455033</v>
          </cell>
          <cell r="F762" t="str">
            <v>TALC</v>
          </cell>
          <cell r="G762" t="str">
            <v>ISNP-400(고백색)</v>
          </cell>
        </row>
        <row r="763">
          <cell r="D763">
            <v>3453001</v>
          </cell>
          <cell r="E763">
            <v>3453001</v>
          </cell>
          <cell r="F763" t="str">
            <v>무기안료</v>
          </cell>
          <cell r="G763" t="str">
            <v>GREEN V9412(50)</v>
          </cell>
        </row>
        <row r="764">
          <cell r="D764">
            <v>3453002</v>
          </cell>
          <cell r="E764">
            <v>3453002</v>
          </cell>
          <cell r="F764" t="str">
            <v>무기안료</v>
          </cell>
          <cell r="G764" t="str">
            <v>YELLOW V1633(TY-300)</v>
          </cell>
        </row>
        <row r="765">
          <cell r="D765">
            <v>3453003</v>
          </cell>
          <cell r="E765">
            <v>3453003</v>
          </cell>
          <cell r="F765" t="str">
            <v>무기안료</v>
          </cell>
          <cell r="G765" t="str">
            <v>BLUE 28</v>
          </cell>
        </row>
        <row r="766">
          <cell r="D766">
            <v>3455031</v>
          </cell>
          <cell r="E766">
            <v>3455031</v>
          </cell>
          <cell r="F766" t="str">
            <v>TALC</v>
          </cell>
          <cell r="G766" t="str">
            <v>ISH-A325</v>
          </cell>
        </row>
        <row r="767">
          <cell r="D767">
            <v>3461001</v>
          </cell>
          <cell r="E767">
            <v>3461001</v>
          </cell>
          <cell r="F767" t="str">
            <v>TiO2</v>
          </cell>
          <cell r="G767" t="str">
            <v>R-902</v>
          </cell>
        </row>
        <row r="768">
          <cell r="D768">
            <v>3479047</v>
          </cell>
          <cell r="E768">
            <v>3479047</v>
          </cell>
          <cell r="F768" t="str">
            <v>Ca-St</v>
          </cell>
          <cell r="G768" t="str">
            <v>DpDU</v>
          </cell>
        </row>
        <row r="769">
          <cell r="D769">
            <v>3479045</v>
          </cell>
          <cell r="E769">
            <v>3479045</v>
          </cell>
          <cell r="F769" t="str">
            <v>징크</v>
          </cell>
          <cell r="G769" t="str">
            <v>ZN-ST(SZ-210)</v>
          </cell>
        </row>
        <row r="770">
          <cell r="D770">
            <v>3479046</v>
          </cell>
          <cell r="E770">
            <v>3479046</v>
          </cell>
          <cell r="F770" t="str">
            <v>ZnO</v>
          </cell>
          <cell r="G770" t="str">
            <v>KS 1호</v>
          </cell>
        </row>
        <row r="771">
          <cell r="D771">
            <v>0</v>
          </cell>
        </row>
        <row r="772">
          <cell r="D772">
            <v>3454001</v>
          </cell>
          <cell r="E772">
            <v>3454001</v>
          </cell>
        </row>
        <row r="773">
          <cell r="D773">
            <v>3479203</v>
          </cell>
          <cell r="E773">
            <v>3479203</v>
          </cell>
        </row>
        <row r="774">
          <cell r="D774">
            <v>3455002</v>
          </cell>
          <cell r="E774">
            <v>3455002</v>
          </cell>
          <cell r="F774" t="str">
            <v>TALC</v>
          </cell>
          <cell r="G774" t="str">
            <v>KC-2000</v>
          </cell>
        </row>
        <row r="775">
          <cell r="D775">
            <v>3455021</v>
          </cell>
          <cell r="E775">
            <v>3455021</v>
          </cell>
          <cell r="F775" t="str">
            <v>TALC</v>
          </cell>
          <cell r="G775" t="str">
            <v>ULTRA TALC 609</v>
          </cell>
        </row>
        <row r="776">
          <cell r="D776">
            <v>0</v>
          </cell>
        </row>
        <row r="777">
          <cell r="D777">
            <v>3454003</v>
          </cell>
          <cell r="E777">
            <v>3454003</v>
          </cell>
        </row>
        <row r="778">
          <cell r="D778">
            <v>3462001</v>
          </cell>
          <cell r="E778">
            <v>3462001</v>
          </cell>
          <cell r="F778" t="str">
            <v>TALC</v>
          </cell>
          <cell r="G778" t="str">
            <v>Wollastonite XA-600</v>
          </cell>
        </row>
        <row r="779">
          <cell r="D779">
            <v>3455003</v>
          </cell>
          <cell r="E779">
            <v>3455003</v>
          </cell>
          <cell r="F779" t="str">
            <v>TALC</v>
          </cell>
          <cell r="G779" t="str">
            <v>FINE TALC KC-5000L</v>
          </cell>
        </row>
        <row r="780">
          <cell r="D780">
            <v>3479021</v>
          </cell>
          <cell r="E780">
            <v>3479021</v>
          </cell>
          <cell r="F780" t="str">
            <v>LOXIOL</v>
          </cell>
          <cell r="G780" t="str">
            <v>VPG861</v>
          </cell>
        </row>
        <row r="781">
          <cell r="D781">
            <v>3479024</v>
          </cell>
          <cell r="E781">
            <v>3479024</v>
          </cell>
          <cell r="F781" t="str">
            <v>GMS</v>
          </cell>
          <cell r="G781" t="str">
            <v>S-100A</v>
          </cell>
        </row>
        <row r="782">
          <cell r="D782">
            <v>3479022</v>
          </cell>
          <cell r="E782">
            <v>3479022</v>
          </cell>
          <cell r="F782" t="str">
            <v>LOXIOL</v>
          </cell>
          <cell r="G782" t="str">
            <v>P861/3.5</v>
          </cell>
        </row>
        <row r="783">
          <cell r="D783">
            <v>3479023</v>
          </cell>
          <cell r="E783">
            <v>3479023</v>
          </cell>
          <cell r="F783" t="str">
            <v>PA</v>
          </cell>
          <cell r="G783" t="str">
            <v>P-130</v>
          </cell>
        </row>
        <row r="784">
          <cell r="D784">
            <v>3453004</v>
          </cell>
          <cell r="E784">
            <v>3453004</v>
          </cell>
          <cell r="F784" t="str">
            <v>무기안료</v>
          </cell>
          <cell r="G784" t="str">
            <v>TY-70S</v>
          </cell>
        </row>
        <row r="785">
          <cell r="D785">
            <v>3479025</v>
          </cell>
          <cell r="E785">
            <v>3479025</v>
          </cell>
          <cell r="F785" t="str">
            <v>LOXIOL</v>
          </cell>
          <cell r="G785" t="str">
            <v>SH-PETS</v>
          </cell>
        </row>
        <row r="786">
          <cell r="D786">
            <v>0</v>
          </cell>
        </row>
        <row r="787">
          <cell r="D787">
            <v>0</v>
          </cell>
        </row>
        <row r="788">
          <cell r="D788">
            <v>3456011</v>
          </cell>
          <cell r="E788">
            <v>3456011</v>
          </cell>
        </row>
        <row r="789">
          <cell r="D789">
            <v>0</v>
          </cell>
        </row>
        <row r="790">
          <cell r="D790">
            <v>3456021</v>
          </cell>
          <cell r="E790">
            <v>3456021</v>
          </cell>
        </row>
        <row r="791">
          <cell r="D791">
            <v>0</v>
          </cell>
        </row>
        <row r="792">
          <cell r="D792">
            <v>3456031</v>
          </cell>
          <cell r="E792">
            <v>3456031</v>
          </cell>
          <cell r="F792" t="str">
            <v>C/B</v>
          </cell>
          <cell r="G792" t="str">
            <v>250G</v>
          </cell>
        </row>
        <row r="793">
          <cell r="D793">
            <v>3456002</v>
          </cell>
          <cell r="E793">
            <v>3456002</v>
          </cell>
          <cell r="F793" t="str">
            <v>C/B</v>
          </cell>
          <cell r="G793" t="str">
            <v>CD7067</v>
          </cell>
        </row>
        <row r="794">
          <cell r="D794">
            <v>0</v>
          </cell>
        </row>
        <row r="795">
          <cell r="D795">
            <v>3456003</v>
          </cell>
          <cell r="E795">
            <v>3456003</v>
          </cell>
          <cell r="F795" t="str">
            <v>C/B</v>
          </cell>
          <cell r="G795" t="str">
            <v>K-Ultra</v>
          </cell>
        </row>
        <row r="796">
          <cell r="D796">
            <v>3456000</v>
          </cell>
          <cell r="E796">
            <v>3456000</v>
          </cell>
          <cell r="F796" t="str">
            <v>C/B</v>
          </cell>
          <cell r="G796" t="str">
            <v>REVEN UV ULTRA</v>
          </cell>
        </row>
        <row r="797">
          <cell r="D797">
            <v>3456001</v>
          </cell>
          <cell r="E797">
            <v>3456001</v>
          </cell>
          <cell r="F797" t="str">
            <v>C/B</v>
          </cell>
          <cell r="G797" t="str">
            <v>CD7054</v>
          </cell>
        </row>
        <row r="798">
          <cell r="D798">
            <v>3456004</v>
          </cell>
          <cell r="E798">
            <v>3456004</v>
          </cell>
          <cell r="F798" t="str">
            <v>C/B</v>
          </cell>
          <cell r="G798" t="str">
            <v>CD7055U</v>
          </cell>
        </row>
        <row r="799">
          <cell r="D799">
            <v>3456005</v>
          </cell>
          <cell r="E799" t="str">
            <v>3456005</v>
          </cell>
          <cell r="F799" t="str">
            <v>C/B</v>
          </cell>
          <cell r="G799" t="str">
            <v>CD7097</v>
          </cell>
        </row>
        <row r="800">
          <cell r="D800">
            <v>0</v>
          </cell>
        </row>
        <row r="801">
          <cell r="D801">
            <v>0</v>
          </cell>
        </row>
        <row r="802">
          <cell r="D802">
            <v>0</v>
          </cell>
        </row>
        <row r="803">
          <cell r="D803">
            <v>0</v>
          </cell>
        </row>
        <row r="804">
          <cell r="D804">
            <v>0</v>
          </cell>
        </row>
        <row r="805">
          <cell r="D805">
            <v>0</v>
          </cell>
        </row>
        <row r="806">
          <cell r="D806">
            <v>3457061</v>
          </cell>
          <cell r="E806">
            <v>3457061</v>
          </cell>
          <cell r="F806" t="str">
            <v xml:space="preserve">C/F </v>
          </cell>
          <cell r="G806" t="str">
            <v>C/F MLD 300 G U1(PROCOTEX)</v>
          </cell>
        </row>
        <row r="807">
          <cell r="D807">
            <v>3457017</v>
          </cell>
          <cell r="E807">
            <v>3457017</v>
          </cell>
        </row>
        <row r="808">
          <cell r="D808">
            <v>3457002</v>
          </cell>
          <cell r="E808">
            <v>3457002</v>
          </cell>
        </row>
        <row r="809">
          <cell r="D809">
            <v>3457011</v>
          </cell>
          <cell r="E809">
            <v>3457011</v>
          </cell>
        </row>
        <row r="810">
          <cell r="D810">
            <v>3457015</v>
          </cell>
          <cell r="E810">
            <v>3457015</v>
          </cell>
          <cell r="F810" t="str">
            <v xml:space="preserve">C/F </v>
          </cell>
          <cell r="G810" t="str">
            <v>RCA(ZOLTEK)</v>
          </cell>
        </row>
        <row r="811">
          <cell r="D811">
            <v>3457031</v>
          </cell>
          <cell r="E811">
            <v>3457031</v>
          </cell>
          <cell r="F811" t="str">
            <v>C/F</v>
          </cell>
          <cell r="G811" t="str">
            <v>C/F CT+SM45D-06-50</v>
          </cell>
        </row>
        <row r="812">
          <cell r="D812">
            <v>3457041</v>
          </cell>
          <cell r="E812">
            <v>3457041</v>
          </cell>
          <cell r="F812" t="str">
            <v xml:space="preserve">C/F </v>
          </cell>
          <cell r="G812" t="str">
            <v>C/F KRC-U12(TEIJIN)</v>
          </cell>
        </row>
        <row r="813">
          <cell r="D813">
            <v>3457051</v>
          </cell>
          <cell r="E813">
            <v>3457051</v>
          </cell>
          <cell r="F813" t="str">
            <v xml:space="preserve">C/F </v>
          </cell>
          <cell r="G813" t="str">
            <v>C/F RVD</v>
          </cell>
        </row>
        <row r="814">
          <cell r="D814">
            <v>3457053</v>
          </cell>
          <cell r="E814">
            <v>3457053</v>
          </cell>
          <cell r="F814" t="str">
            <v xml:space="preserve">C/F </v>
          </cell>
          <cell r="G814" t="str">
            <v>C/F 국내(용주)</v>
          </cell>
        </row>
        <row r="815">
          <cell r="D815">
            <v>3457001</v>
          </cell>
          <cell r="E815">
            <v>3457001</v>
          </cell>
        </row>
        <row r="816">
          <cell r="D816">
            <v>3457012</v>
          </cell>
          <cell r="E816">
            <v>3457012</v>
          </cell>
          <cell r="F816" t="str">
            <v xml:space="preserve">C/F </v>
          </cell>
          <cell r="G816" t="str">
            <v>ACECA-CBT PU</v>
          </cell>
        </row>
        <row r="817">
          <cell r="D817">
            <v>3457042</v>
          </cell>
          <cell r="E817">
            <v>3457042</v>
          </cell>
          <cell r="F817" t="str">
            <v xml:space="preserve">C/F </v>
          </cell>
          <cell r="G817" t="str">
            <v>UH</v>
          </cell>
        </row>
        <row r="818">
          <cell r="D818">
            <v>0</v>
          </cell>
        </row>
        <row r="819">
          <cell r="D819">
            <v>0</v>
          </cell>
        </row>
        <row r="820">
          <cell r="D820">
            <v>3457091</v>
          </cell>
          <cell r="E820">
            <v>3457091</v>
          </cell>
          <cell r="F820" t="str">
            <v>NiCF</v>
          </cell>
          <cell r="G820" t="str">
            <v>HT C923</v>
          </cell>
        </row>
        <row r="821">
          <cell r="D821">
            <v>0</v>
          </cell>
        </row>
        <row r="822">
          <cell r="D822">
            <v>3464001</v>
          </cell>
          <cell r="E822">
            <v>3464001</v>
          </cell>
          <cell r="F822" t="str">
            <v>CNT</v>
          </cell>
          <cell r="G822" t="str">
            <v>CM-150</v>
          </cell>
        </row>
        <row r="823">
          <cell r="D823">
            <v>3464002</v>
          </cell>
          <cell r="E823">
            <v>3464002</v>
          </cell>
          <cell r="F823" t="str">
            <v>CNT</v>
          </cell>
          <cell r="G823" t="str">
            <v>BT1001M</v>
          </cell>
        </row>
        <row r="824">
          <cell r="D824">
            <v>0</v>
          </cell>
        </row>
        <row r="825">
          <cell r="D825">
            <v>3458007</v>
          </cell>
          <cell r="E825">
            <v>3458007</v>
          </cell>
        </row>
        <row r="826">
          <cell r="D826">
            <v>3464100</v>
          </cell>
          <cell r="E826">
            <v>3464100</v>
          </cell>
          <cell r="F826" t="str">
            <v>PEEK</v>
          </cell>
          <cell r="G826" t="str">
            <v>2000G (Evonik)</v>
          </cell>
        </row>
        <row r="827">
          <cell r="D827">
            <v>3458008</v>
          </cell>
          <cell r="E827">
            <v>3458008</v>
          </cell>
          <cell r="F827" t="str">
            <v>IDP</v>
          </cell>
          <cell r="G827" t="str">
            <v>PELECTRON AS</v>
          </cell>
        </row>
        <row r="828">
          <cell r="D828">
            <v>3458002</v>
          </cell>
          <cell r="E828">
            <v>3458002</v>
          </cell>
          <cell r="F828" t="str">
            <v>IDP</v>
          </cell>
          <cell r="G828" t="str">
            <v>PELESTAT 300</v>
          </cell>
        </row>
        <row r="829">
          <cell r="D829">
            <v>0</v>
          </cell>
        </row>
        <row r="830">
          <cell r="D830">
            <v>3458001</v>
          </cell>
          <cell r="E830">
            <v>3458001</v>
          </cell>
          <cell r="F830" t="str">
            <v>IDP</v>
          </cell>
          <cell r="G830" t="str">
            <v>PELESTAT 6500</v>
          </cell>
        </row>
        <row r="831">
          <cell r="D831">
            <v>3458011</v>
          </cell>
          <cell r="E831">
            <v>3458011</v>
          </cell>
          <cell r="F831" t="str">
            <v>IDP</v>
          </cell>
          <cell r="G831" t="str">
            <v>UPAE 6060</v>
          </cell>
        </row>
        <row r="832">
          <cell r="D832">
            <v>3458005</v>
          </cell>
          <cell r="E832">
            <v>3458005</v>
          </cell>
        </row>
        <row r="833">
          <cell r="D833">
            <v>3458006</v>
          </cell>
          <cell r="E833">
            <v>3458006</v>
          </cell>
        </row>
        <row r="834">
          <cell r="D834">
            <v>0</v>
          </cell>
        </row>
        <row r="835">
          <cell r="D835">
            <v>0</v>
          </cell>
        </row>
        <row r="836">
          <cell r="D836">
            <v>3458041</v>
          </cell>
          <cell r="E836">
            <v>3458041</v>
          </cell>
        </row>
        <row r="837">
          <cell r="D837">
            <v>3458031</v>
          </cell>
          <cell r="E837">
            <v>3458031</v>
          </cell>
          <cell r="F837" t="str">
            <v>IDP</v>
          </cell>
          <cell r="G837" t="str">
            <v>MH2030</v>
          </cell>
        </row>
        <row r="838">
          <cell r="D838">
            <v>3458051</v>
          </cell>
          <cell r="E838">
            <v>3458051</v>
          </cell>
          <cell r="F838" t="str">
            <v>이온성액체</v>
          </cell>
          <cell r="G838" t="str">
            <v>P222B-1</v>
          </cell>
        </row>
        <row r="839">
          <cell r="D839">
            <v>3458009</v>
          </cell>
          <cell r="E839">
            <v>3458009</v>
          </cell>
        </row>
        <row r="840">
          <cell r="D840">
            <v>3458043</v>
          </cell>
          <cell r="E840">
            <v>3458043</v>
          </cell>
        </row>
        <row r="841">
          <cell r="D841">
            <v>0</v>
          </cell>
        </row>
        <row r="842">
          <cell r="D842">
            <v>3465011</v>
          </cell>
          <cell r="E842">
            <v>3465011</v>
          </cell>
        </row>
        <row r="843">
          <cell r="D843">
            <v>3465021</v>
          </cell>
          <cell r="E843">
            <v>3465021</v>
          </cell>
        </row>
        <row r="844">
          <cell r="D844">
            <v>3479041</v>
          </cell>
          <cell r="E844">
            <v>3479041</v>
          </cell>
          <cell r="F844" t="str">
            <v>EBS</v>
          </cell>
          <cell r="G844" t="str">
            <v>EBS(BEAD),(HI-LUBE)</v>
          </cell>
        </row>
        <row r="845">
          <cell r="D845">
            <v>9999999</v>
          </cell>
          <cell r="E845">
            <v>9999999</v>
          </cell>
          <cell r="F845" t="str">
            <v>지팜</v>
          </cell>
          <cell r="G845" t="str">
            <v>원재료 샘플(SP02-ZA)</v>
          </cell>
        </row>
        <row r="846">
          <cell r="D846">
            <v>3479050</v>
          </cell>
          <cell r="E846">
            <v>3479050</v>
          </cell>
          <cell r="F846" t="str">
            <v>A/O</v>
          </cell>
          <cell r="G846" t="str">
            <v>MICOLIN LAS(미원화학)</v>
          </cell>
        </row>
        <row r="847">
          <cell r="D847">
            <v>3479071</v>
          </cell>
          <cell r="E847">
            <v>3479071</v>
          </cell>
          <cell r="F847" t="str">
            <v>RUBBER</v>
          </cell>
          <cell r="G847" t="str">
            <v>ADFLEX Q100F(RUBBER)</v>
          </cell>
        </row>
        <row r="848">
          <cell r="D848">
            <v>3479070</v>
          </cell>
          <cell r="E848">
            <v>3479070</v>
          </cell>
          <cell r="F848" t="str">
            <v>CaCO3</v>
          </cell>
          <cell r="G848" t="str">
            <v>OM2T</v>
          </cell>
        </row>
        <row r="849">
          <cell r="D849">
            <v>3479069</v>
          </cell>
          <cell r="E849">
            <v>3479069</v>
          </cell>
          <cell r="F849" t="str">
            <v>M/B</v>
          </cell>
          <cell r="G849" t="str">
            <v>PP BLACK MB</v>
          </cell>
        </row>
        <row r="850">
          <cell r="D850">
            <v>3479068</v>
          </cell>
          <cell r="E850">
            <v>3479068</v>
          </cell>
          <cell r="F850" t="str">
            <v>PP</v>
          </cell>
          <cell r="G850" t="str">
            <v>PP Mnipellet(재생)</v>
          </cell>
        </row>
        <row r="851">
          <cell r="D851">
            <v>3459029</v>
          </cell>
          <cell r="E851">
            <v>3459029</v>
          </cell>
          <cell r="F851" t="str">
            <v xml:space="preserve">G/F </v>
          </cell>
          <cell r="G851" t="str">
            <v>116A-3MM</v>
          </cell>
        </row>
        <row r="852">
          <cell r="D852">
            <v>3459031</v>
          </cell>
          <cell r="E852">
            <v>3459031</v>
          </cell>
          <cell r="F852" t="str">
            <v xml:space="preserve">G/F </v>
          </cell>
          <cell r="G852" t="str">
            <v>HP3786 (대만)</v>
          </cell>
        </row>
        <row r="853">
          <cell r="D853">
            <v>3459028</v>
          </cell>
          <cell r="E853">
            <v>3459028</v>
          </cell>
          <cell r="F853" t="str">
            <v xml:space="preserve">G/F </v>
          </cell>
          <cell r="G853" t="str">
            <v>116A-4MM</v>
          </cell>
        </row>
        <row r="854">
          <cell r="D854">
            <v>3479102</v>
          </cell>
          <cell r="E854">
            <v>3479102</v>
          </cell>
        </row>
        <row r="855">
          <cell r="D855">
            <v>3416031</v>
          </cell>
          <cell r="E855">
            <v>3416031</v>
          </cell>
        </row>
        <row r="856">
          <cell r="D856">
            <v>3479105</v>
          </cell>
          <cell r="E856">
            <v>3479105</v>
          </cell>
        </row>
        <row r="857">
          <cell r="D857">
            <v>3479060</v>
          </cell>
          <cell r="E857">
            <v>3479060</v>
          </cell>
          <cell r="F857" t="str">
            <v>Graphite</v>
          </cell>
          <cell r="G857" t="str">
            <v>TIMREX 20X50 97</v>
          </cell>
        </row>
        <row r="858">
          <cell r="D858">
            <v>3459021</v>
          </cell>
          <cell r="E858">
            <v>3459021</v>
          </cell>
          <cell r="F858" t="str">
            <v>G/F</v>
          </cell>
          <cell r="G858" t="str">
            <v>CS04-910 10P</v>
          </cell>
        </row>
        <row r="859">
          <cell r="D859">
            <v>3459012</v>
          </cell>
          <cell r="E859">
            <v>3459012</v>
          </cell>
          <cell r="F859" t="str">
            <v>G/F</v>
          </cell>
          <cell r="G859" t="str">
            <v>T436(태산)</v>
          </cell>
        </row>
        <row r="860">
          <cell r="D860">
            <v>3459011</v>
          </cell>
          <cell r="E860">
            <v>3459011</v>
          </cell>
          <cell r="F860" t="str">
            <v>G/F</v>
          </cell>
          <cell r="G860" t="str">
            <v>T435N(태산)</v>
          </cell>
        </row>
        <row r="861">
          <cell r="D861">
            <v>3459002</v>
          </cell>
          <cell r="E861">
            <v>3459002</v>
          </cell>
          <cell r="F861" t="str">
            <v>G/F</v>
          </cell>
          <cell r="G861" t="str">
            <v>KCC-CS311/395</v>
          </cell>
        </row>
        <row r="862">
          <cell r="D862">
            <v>3459022</v>
          </cell>
          <cell r="E862">
            <v>3459022</v>
          </cell>
          <cell r="F862" t="str">
            <v>G/F</v>
          </cell>
          <cell r="G862" t="str">
            <v>CS 995-10P</v>
          </cell>
        </row>
        <row r="863">
          <cell r="D863">
            <v>3459030</v>
          </cell>
          <cell r="E863">
            <v>3459030</v>
          </cell>
          <cell r="F863" t="str">
            <v>G/F</v>
          </cell>
          <cell r="G863" t="str">
            <v>G/F ECS13-540H (쥬시)</v>
          </cell>
        </row>
        <row r="864">
          <cell r="D864">
            <v>3459032</v>
          </cell>
          <cell r="E864">
            <v>3459032</v>
          </cell>
          <cell r="F864" t="str">
            <v>G/F</v>
          </cell>
          <cell r="G864" t="str">
            <v>국내G/F(NEG,OWENS,KCC)</v>
          </cell>
        </row>
        <row r="865">
          <cell r="D865">
            <v>3479201</v>
          </cell>
          <cell r="E865">
            <v>3479201</v>
          </cell>
          <cell r="F865" t="str">
            <v>CaCO3</v>
          </cell>
          <cell r="G865" t="str">
            <v>CaCO3(옥염화)</v>
          </cell>
        </row>
        <row r="866">
          <cell r="D866">
            <v>0</v>
          </cell>
        </row>
        <row r="867">
          <cell r="D867">
            <v>3499037</v>
          </cell>
          <cell r="E867">
            <v>3499037</v>
          </cell>
          <cell r="F867" t="str">
            <v>불용</v>
          </cell>
          <cell r="G867" t="str">
            <v>불용자재 YJ-6550C YLJ</v>
          </cell>
        </row>
        <row r="868">
          <cell r="D868">
            <v>3499000</v>
          </cell>
          <cell r="E868">
            <v>3499000</v>
          </cell>
          <cell r="F868" t="str">
            <v>불용</v>
          </cell>
          <cell r="G868" t="str">
            <v>불용자재 T-7200A</v>
          </cell>
        </row>
        <row r="869">
          <cell r="D869">
            <v>3499030</v>
          </cell>
          <cell r="E869">
            <v>3499030</v>
          </cell>
          <cell r="F869" t="str">
            <v>불용</v>
          </cell>
          <cell r="G869" t="str">
            <v>불용자재 YJ-8510</v>
          </cell>
        </row>
        <row r="870">
          <cell r="D870">
            <v>3499031</v>
          </cell>
          <cell r="E870">
            <v>3499031</v>
          </cell>
          <cell r="F870" t="str">
            <v>불용</v>
          </cell>
          <cell r="G870" t="str">
            <v xml:space="preserve">불용자재 70822(0.8T) </v>
          </cell>
        </row>
        <row r="871">
          <cell r="D871">
            <v>3499032</v>
          </cell>
          <cell r="E871">
            <v>3499032</v>
          </cell>
          <cell r="F871" t="str">
            <v>불용</v>
          </cell>
          <cell r="G871" t="str">
            <v>불용자재 6550BR</v>
          </cell>
        </row>
        <row r="872">
          <cell r="D872">
            <v>3499033</v>
          </cell>
          <cell r="E872">
            <v>3499033</v>
          </cell>
          <cell r="F872" t="str">
            <v>불용</v>
          </cell>
          <cell r="G872" t="str">
            <v>불용자재 YJ-6550YLJ</v>
          </cell>
        </row>
        <row r="873">
          <cell r="D873">
            <v>3499034</v>
          </cell>
          <cell r="E873">
            <v>3499034</v>
          </cell>
          <cell r="F873" t="str">
            <v>불용</v>
          </cell>
          <cell r="G873" t="str">
            <v>불용자재 YJ-6550C GN</v>
          </cell>
        </row>
        <row r="874">
          <cell r="D874">
            <v>3499035</v>
          </cell>
          <cell r="E874">
            <v>3499035</v>
          </cell>
          <cell r="F874" t="str">
            <v>불용</v>
          </cell>
          <cell r="G874" t="str">
            <v>불용자재 YJ-6570BLJ</v>
          </cell>
        </row>
        <row r="875">
          <cell r="D875">
            <v>3499036</v>
          </cell>
          <cell r="E875">
            <v>3499036</v>
          </cell>
          <cell r="F875" t="str">
            <v>불용</v>
          </cell>
          <cell r="G875" t="str">
            <v>불용자재 YJ-1150EK 고비중</v>
          </cell>
        </row>
      </sheetData>
      <sheetData sheetId="7">
        <row r="1">
          <cell r="C1" t="str">
            <v>품번</v>
          </cell>
          <cell r="G1" t="str">
            <v>기초수량</v>
          </cell>
          <cell r="I1" t="str">
            <v>기초금액</v>
          </cell>
          <cell r="Z1" t="str">
            <v>출고수량</v>
          </cell>
          <cell r="AB1" t="str">
            <v>출고금액</v>
          </cell>
          <cell r="AF1" t="str">
            <v>입고금액</v>
          </cell>
        </row>
        <row r="2">
          <cell r="C2" t="str">
            <v>3402004</v>
          </cell>
          <cell r="G2">
            <v>0</v>
          </cell>
          <cell r="I2">
            <v>0</v>
          </cell>
          <cell r="Z2">
            <v>0</v>
          </cell>
          <cell r="AB2">
            <v>0</v>
          </cell>
          <cell r="AF2">
            <v>0</v>
          </cell>
        </row>
        <row r="3">
          <cell r="C3" t="str">
            <v>3402013</v>
          </cell>
          <cell r="G3">
            <v>0</v>
          </cell>
          <cell r="I3">
            <v>0</v>
          </cell>
          <cell r="Z3">
            <v>0</v>
          </cell>
          <cell r="AB3">
            <v>0</v>
          </cell>
          <cell r="AF3">
            <v>0</v>
          </cell>
        </row>
        <row r="4">
          <cell r="C4" t="str">
            <v>3402014</v>
          </cell>
          <cell r="G4">
            <v>2507</v>
          </cell>
          <cell r="I4">
            <v>11101112</v>
          </cell>
          <cell r="Z4">
            <v>0</v>
          </cell>
          <cell r="AB4">
            <v>0</v>
          </cell>
          <cell r="AF4">
            <v>0</v>
          </cell>
        </row>
        <row r="5">
          <cell r="C5" t="str">
            <v>3402015</v>
          </cell>
          <cell r="G5">
            <v>0</v>
          </cell>
          <cell r="I5">
            <v>0</v>
          </cell>
          <cell r="Z5">
            <v>0</v>
          </cell>
          <cell r="AB5">
            <v>0</v>
          </cell>
          <cell r="AF5">
            <v>708005664</v>
          </cell>
        </row>
        <row r="6">
          <cell r="C6" t="str">
            <v>3402016</v>
          </cell>
          <cell r="G6">
            <v>0</v>
          </cell>
          <cell r="I6">
            <v>0</v>
          </cell>
          <cell r="Z6">
            <v>0</v>
          </cell>
          <cell r="AB6">
            <v>0</v>
          </cell>
          <cell r="AF6">
            <v>0</v>
          </cell>
        </row>
        <row r="7">
          <cell r="C7" t="str">
            <v>3402035</v>
          </cell>
          <cell r="G7">
            <v>0</v>
          </cell>
          <cell r="I7">
            <v>0</v>
          </cell>
          <cell r="Z7">
            <v>0</v>
          </cell>
          <cell r="AB7">
            <v>0</v>
          </cell>
          <cell r="AF7">
            <v>0</v>
          </cell>
        </row>
        <row r="8">
          <cell r="C8" t="str">
            <v>3402040</v>
          </cell>
          <cell r="G8">
            <v>0</v>
          </cell>
          <cell r="I8">
            <v>0</v>
          </cell>
          <cell r="Z8">
            <v>0</v>
          </cell>
          <cell r="AB8">
            <v>0</v>
          </cell>
          <cell r="AF8">
            <v>0</v>
          </cell>
        </row>
        <row r="9">
          <cell r="C9" t="str">
            <v>3402042</v>
          </cell>
          <cell r="G9">
            <v>0</v>
          </cell>
          <cell r="I9">
            <v>0</v>
          </cell>
          <cell r="Z9">
            <v>0</v>
          </cell>
          <cell r="AB9">
            <v>0</v>
          </cell>
          <cell r="AF9">
            <v>0</v>
          </cell>
        </row>
        <row r="10">
          <cell r="C10" t="str">
            <v>3402045</v>
          </cell>
          <cell r="G10">
            <v>0</v>
          </cell>
          <cell r="I10">
            <v>0</v>
          </cell>
          <cell r="Z10">
            <v>0</v>
          </cell>
          <cell r="AB10">
            <v>0</v>
          </cell>
          <cell r="AF10">
            <v>0</v>
          </cell>
        </row>
        <row r="11">
          <cell r="C11" t="str">
            <v>3402051</v>
          </cell>
          <cell r="G11">
            <v>0</v>
          </cell>
          <cell r="I11">
            <v>0</v>
          </cell>
          <cell r="Z11">
            <v>0</v>
          </cell>
          <cell r="AB11">
            <v>0</v>
          </cell>
          <cell r="AF11">
            <v>0</v>
          </cell>
        </row>
        <row r="12">
          <cell r="C12" t="str">
            <v>3402081</v>
          </cell>
          <cell r="G12">
            <v>0</v>
          </cell>
          <cell r="I12">
            <v>0</v>
          </cell>
          <cell r="Z12">
            <v>0</v>
          </cell>
          <cell r="AB12">
            <v>0</v>
          </cell>
          <cell r="AF12">
            <v>0</v>
          </cell>
        </row>
        <row r="13">
          <cell r="C13" t="str">
            <v>3402104</v>
          </cell>
          <cell r="G13">
            <v>7725</v>
          </cell>
          <cell r="I13">
            <v>32263659</v>
          </cell>
          <cell r="Z13">
            <v>25</v>
          </cell>
          <cell r="AB13">
            <v>104413</v>
          </cell>
          <cell r="AF13">
            <v>0</v>
          </cell>
        </row>
        <row r="14">
          <cell r="C14" t="str">
            <v>3402105</v>
          </cell>
          <cell r="G14">
            <v>138162</v>
          </cell>
          <cell r="I14">
            <v>583123981</v>
          </cell>
          <cell r="Z14">
            <v>85020</v>
          </cell>
          <cell r="AB14">
            <v>358833839</v>
          </cell>
          <cell r="AF14">
            <v>0</v>
          </cell>
        </row>
        <row r="15">
          <cell r="C15" t="str">
            <v>3402106</v>
          </cell>
          <cell r="G15">
            <v>0</v>
          </cell>
          <cell r="I15">
            <v>0</v>
          </cell>
          <cell r="Z15">
            <v>0</v>
          </cell>
          <cell r="AB15">
            <v>0</v>
          </cell>
          <cell r="AF15">
            <v>0</v>
          </cell>
        </row>
        <row r="16">
          <cell r="C16" t="str">
            <v>3402107</v>
          </cell>
          <cell r="G16">
            <v>0</v>
          </cell>
          <cell r="I16">
            <v>0</v>
          </cell>
          <cell r="Z16">
            <v>0</v>
          </cell>
          <cell r="AB16">
            <v>0</v>
          </cell>
          <cell r="AF16">
            <v>0</v>
          </cell>
        </row>
        <row r="17">
          <cell r="C17" t="str">
            <v>3402108</v>
          </cell>
          <cell r="G17">
            <v>0</v>
          </cell>
          <cell r="I17">
            <v>0</v>
          </cell>
          <cell r="Z17">
            <v>0</v>
          </cell>
          <cell r="AB17">
            <v>0</v>
          </cell>
          <cell r="AF17">
            <v>0</v>
          </cell>
        </row>
        <row r="18">
          <cell r="C18" t="str">
            <v>3402201</v>
          </cell>
          <cell r="G18">
            <v>0</v>
          </cell>
          <cell r="I18">
            <v>0</v>
          </cell>
          <cell r="Z18">
            <v>0</v>
          </cell>
          <cell r="AB18">
            <v>0</v>
          </cell>
          <cell r="AF18">
            <v>0</v>
          </cell>
        </row>
        <row r="19">
          <cell r="C19" t="str">
            <v>3403301</v>
          </cell>
          <cell r="G19">
            <v>0</v>
          </cell>
          <cell r="I19">
            <v>0</v>
          </cell>
          <cell r="Z19">
            <v>0</v>
          </cell>
          <cell r="AB19">
            <v>0</v>
          </cell>
          <cell r="AF19">
            <v>0</v>
          </cell>
        </row>
        <row r="20">
          <cell r="C20" t="str">
            <v>3403303</v>
          </cell>
          <cell r="G20">
            <v>158562</v>
          </cell>
          <cell r="I20">
            <v>306194616</v>
          </cell>
          <cell r="Z20">
            <v>98925</v>
          </cell>
          <cell r="AB20">
            <v>186739413</v>
          </cell>
          <cell r="AF20">
            <v>258561622</v>
          </cell>
        </row>
        <row r="21">
          <cell r="C21" t="str">
            <v>3403304</v>
          </cell>
          <cell r="G21">
            <v>18300</v>
          </cell>
          <cell r="I21">
            <v>38419628</v>
          </cell>
          <cell r="Z21">
            <v>0</v>
          </cell>
          <cell r="AB21">
            <v>0</v>
          </cell>
          <cell r="AF21">
            <v>0</v>
          </cell>
        </row>
        <row r="22">
          <cell r="C22" t="str">
            <v>3403305</v>
          </cell>
          <cell r="G22">
            <v>1600</v>
          </cell>
          <cell r="I22">
            <v>3046967</v>
          </cell>
          <cell r="Z22">
            <v>0</v>
          </cell>
          <cell r="AB22">
            <v>0</v>
          </cell>
          <cell r="AF22">
            <v>0</v>
          </cell>
        </row>
        <row r="23">
          <cell r="C23" t="str">
            <v>3403306</v>
          </cell>
          <cell r="G23">
            <v>350</v>
          </cell>
          <cell r="I23">
            <v>596696</v>
          </cell>
          <cell r="Z23">
            <v>0</v>
          </cell>
          <cell r="AB23">
            <v>0</v>
          </cell>
          <cell r="AF23">
            <v>0</v>
          </cell>
        </row>
        <row r="24">
          <cell r="C24" t="str">
            <v>3403307</v>
          </cell>
          <cell r="G24">
            <v>185</v>
          </cell>
          <cell r="I24">
            <v>185</v>
          </cell>
          <cell r="Z24">
            <v>0</v>
          </cell>
          <cell r="AB24">
            <v>0</v>
          </cell>
          <cell r="AF24">
            <v>0</v>
          </cell>
        </row>
        <row r="25">
          <cell r="C25" t="str">
            <v>3403308</v>
          </cell>
          <cell r="G25">
            <v>0</v>
          </cell>
          <cell r="I25">
            <v>0</v>
          </cell>
          <cell r="Z25">
            <v>0</v>
          </cell>
          <cell r="AB25">
            <v>0</v>
          </cell>
          <cell r="AF25">
            <v>0</v>
          </cell>
        </row>
        <row r="26">
          <cell r="C26" t="str">
            <v>3403309</v>
          </cell>
          <cell r="G26">
            <v>7600</v>
          </cell>
          <cell r="I26">
            <v>14138578</v>
          </cell>
          <cell r="Z26">
            <v>125</v>
          </cell>
          <cell r="AB26">
            <v>232542</v>
          </cell>
          <cell r="AF26">
            <v>0</v>
          </cell>
        </row>
        <row r="27">
          <cell r="C27" t="str">
            <v>3403311</v>
          </cell>
          <cell r="G27">
            <v>7325</v>
          </cell>
          <cell r="I27">
            <v>18963202</v>
          </cell>
          <cell r="Z27">
            <v>7275</v>
          </cell>
          <cell r="AB27">
            <v>18833760</v>
          </cell>
          <cell r="AF27">
            <v>0</v>
          </cell>
        </row>
        <row r="28">
          <cell r="C28" t="str">
            <v>3403313</v>
          </cell>
          <cell r="G28">
            <v>112185</v>
          </cell>
          <cell r="I28">
            <v>195559306</v>
          </cell>
          <cell r="Z28">
            <v>50170</v>
          </cell>
          <cell r="AB28">
            <v>83677633</v>
          </cell>
          <cell r="AF28">
            <v>254720429</v>
          </cell>
        </row>
        <row r="29">
          <cell r="C29" t="str">
            <v>3403314</v>
          </cell>
          <cell r="G29">
            <v>900</v>
          </cell>
          <cell r="I29">
            <v>1733804</v>
          </cell>
          <cell r="Z29">
            <v>0</v>
          </cell>
          <cell r="AB29">
            <v>0</v>
          </cell>
          <cell r="AF29">
            <v>0</v>
          </cell>
        </row>
        <row r="30">
          <cell r="C30" t="str">
            <v>3403315</v>
          </cell>
          <cell r="G30">
            <v>0</v>
          </cell>
          <cell r="I30">
            <v>0</v>
          </cell>
          <cell r="Z30">
            <v>0</v>
          </cell>
          <cell r="AB30">
            <v>0</v>
          </cell>
          <cell r="AF30">
            <v>0</v>
          </cell>
        </row>
        <row r="31">
          <cell r="C31" t="str">
            <v>3403317</v>
          </cell>
          <cell r="G31">
            <v>0</v>
          </cell>
          <cell r="I31">
            <v>0</v>
          </cell>
          <cell r="Z31">
            <v>0</v>
          </cell>
          <cell r="AB31">
            <v>0</v>
          </cell>
          <cell r="AF31">
            <v>0</v>
          </cell>
        </row>
        <row r="32">
          <cell r="C32" t="str">
            <v>3403319</v>
          </cell>
          <cell r="G32">
            <v>0</v>
          </cell>
          <cell r="I32">
            <v>0</v>
          </cell>
          <cell r="Z32">
            <v>0</v>
          </cell>
          <cell r="AB32">
            <v>0</v>
          </cell>
          <cell r="AF32">
            <v>0</v>
          </cell>
        </row>
        <row r="33">
          <cell r="C33" t="str">
            <v>3403321</v>
          </cell>
          <cell r="G33">
            <v>2700</v>
          </cell>
          <cell r="I33">
            <v>4983972</v>
          </cell>
          <cell r="Z33">
            <v>0</v>
          </cell>
          <cell r="AB33">
            <v>0</v>
          </cell>
          <cell r="AF33">
            <v>3755328</v>
          </cell>
        </row>
        <row r="34">
          <cell r="C34" t="str">
            <v>3403323</v>
          </cell>
          <cell r="G34">
            <v>4800</v>
          </cell>
          <cell r="I34">
            <v>7008000</v>
          </cell>
          <cell r="Z34">
            <v>0</v>
          </cell>
          <cell r="AB34">
            <v>0</v>
          </cell>
          <cell r="AF34">
            <v>0</v>
          </cell>
        </row>
        <row r="35">
          <cell r="C35" t="str">
            <v>3404301</v>
          </cell>
          <cell r="G35">
            <v>11223</v>
          </cell>
          <cell r="I35">
            <v>24150725</v>
          </cell>
          <cell r="Z35">
            <v>3300</v>
          </cell>
          <cell r="AB35">
            <v>7048462</v>
          </cell>
          <cell r="AF35">
            <v>2157127</v>
          </cell>
        </row>
        <row r="36">
          <cell r="C36" t="str">
            <v>3404302</v>
          </cell>
          <cell r="G36">
            <v>0</v>
          </cell>
          <cell r="I36">
            <v>0</v>
          </cell>
          <cell r="Z36">
            <v>0</v>
          </cell>
          <cell r="AB36">
            <v>0</v>
          </cell>
          <cell r="AF36">
            <v>0</v>
          </cell>
        </row>
        <row r="37">
          <cell r="C37" t="str">
            <v>3404303</v>
          </cell>
          <cell r="G37">
            <v>92882</v>
          </cell>
          <cell r="I37">
            <v>202449848</v>
          </cell>
          <cell r="Z37">
            <v>3078</v>
          </cell>
          <cell r="AB37">
            <v>6778822</v>
          </cell>
          <cell r="AF37">
            <v>69176530</v>
          </cell>
        </row>
        <row r="38">
          <cell r="C38" t="str">
            <v>3404304</v>
          </cell>
          <cell r="G38">
            <v>16166</v>
          </cell>
          <cell r="I38">
            <v>33137131</v>
          </cell>
          <cell r="Z38">
            <v>0</v>
          </cell>
          <cell r="AB38">
            <v>0</v>
          </cell>
          <cell r="AF38">
            <v>0</v>
          </cell>
        </row>
        <row r="39">
          <cell r="C39" t="str">
            <v>3404305</v>
          </cell>
          <cell r="G39">
            <v>0</v>
          </cell>
          <cell r="I39">
            <v>0</v>
          </cell>
          <cell r="Z39">
            <v>0</v>
          </cell>
          <cell r="AB39">
            <v>0</v>
          </cell>
          <cell r="AF39">
            <v>0</v>
          </cell>
        </row>
        <row r="40">
          <cell r="C40" t="str">
            <v>3404401</v>
          </cell>
          <cell r="G40">
            <v>1700</v>
          </cell>
          <cell r="I40">
            <v>6646240</v>
          </cell>
          <cell r="Z40">
            <v>0</v>
          </cell>
          <cell r="AB40">
            <v>0</v>
          </cell>
          <cell r="AF40">
            <v>0</v>
          </cell>
        </row>
        <row r="41">
          <cell r="C41" t="str">
            <v>3404402</v>
          </cell>
          <cell r="G41">
            <v>1182</v>
          </cell>
          <cell r="I41">
            <v>6619200</v>
          </cell>
          <cell r="Z41">
            <v>0</v>
          </cell>
          <cell r="AB41">
            <v>0</v>
          </cell>
          <cell r="AF41">
            <v>0</v>
          </cell>
        </row>
        <row r="42">
          <cell r="C42" t="str">
            <v>3405100</v>
          </cell>
          <cell r="G42">
            <v>8288</v>
          </cell>
          <cell r="I42">
            <v>36479917</v>
          </cell>
          <cell r="Z42">
            <v>4975</v>
          </cell>
          <cell r="AB42">
            <v>21897634</v>
          </cell>
          <cell r="AF42">
            <v>0</v>
          </cell>
        </row>
        <row r="43">
          <cell r="C43" t="str">
            <v>3405101</v>
          </cell>
          <cell r="G43">
            <v>4802</v>
          </cell>
          <cell r="I43">
            <v>76631106</v>
          </cell>
          <cell r="Z43">
            <v>6225</v>
          </cell>
          <cell r="AB43">
            <v>100886146</v>
          </cell>
          <cell r="AF43">
            <v>82226083</v>
          </cell>
        </row>
        <row r="44">
          <cell r="C44" t="str">
            <v>3405102</v>
          </cell>
          <cell r="G44">
            <v>0</v>
          </cell>
          <cell r="I44">
            <v>0</v>
          </cell>
          <cell r="Z44">
            <v>0</v>
          </cell>
          <cell r="AB44">
            <v>0</v>
          </cell>
          <cell r="AF44">
            <v>0</v>
          </cell>
        </row>
        <row r="45">
          <cell r="C45" t="str">
            <v>3405103</v>
          </cell>
          <cell r="G45">
            <v>0</v>
          </cell>
          <cell r="I45">
            <v>0</v>
          </cell>
          <cell r="Z45">
            <v>0</v>
          </cell>
          <cell r="AB45">
            <v>0</v>
          </cell>
          <cell r="AF45">
            <v>0</v>
          </cell>
        </row>
        <row r="46">
          <cell r="C46" t="str">
            <v>3405104</v>
          </cell>
          <cell r="G46">
            <v>0</v>
          </cell>
          <cell r="I46">
            <v>0</v>
          </cell>
          <cell r="Z46">
            <v>0</v>
          </cell>
          <cell r="AB46">
            <v>0</v>
          </cell>
          <cell r="AF46">
            <v>0</v>
          </cell>
        </row>
        <row r="47">
          <cell r="C47" t="str">
            <v>3405105</v>
          </cell>
          <cell r="G47">
            <v>0</v>
          </cell>
          <cell r="I47">
            <v>0</v>
          </cell>
          <cell r="Z47">
            <v>0</v>
          </cell>
          <cell r="AB47">
            <v>0</v>
          </cell>
          <cell r="AF47">
            <v>0</v>
          </cell>
        </row>
        <row r="48">
          <cell r="C48" t="str">
            <v>3405111</v>
          </cell>
          <cell r="G48">
            <v>263</v>
          </cell>
          <cell r="I48">
            <v>3074113</v>
          </cell>
          <cell r="Z48">
            <v>0</v>
          </cell>
          <cell r="AB48">
            <v>0</v>
          </cell>
          <cell r="AF48">
            <v>18060000</v>
          </cell>
        </row>
        <row r="49">
          <cell r="C49" t="str">
            <v>3405131</v>
          </cell>
          <cell r="G49">
            <v>0</v>
          </cell>
          <cell r="I49">
            <v>0</v>
          </cell>
          <cell r="Z49">
            <v>0</v>
          </cell>
          <cell r="AB49">
            <v>0</v>
          </cell>
          <cell r="AF49">
            <v>0</v>
          </cell>
        </row>
        <row r="50">
          <cell r="C50" t="str">
            <v>3405132</v>
          </cell>
          <cell r="G50">
            <v>2199</v>
          </cell>
          <cell r="I50">
            <v>20593880</v>
          </cell>
          <cell r="Z50">
            <v>11885</v>
          </cell>
          <cell r="AB50">
            <v>112961663</v>
          </cell>
          <cell r="AF50">
            <v>128618165</v>
          </cell>
        </row>
        <row r="51">
          <cell r="C51" t="str">
            <v>3405141</v>
          </cell>
          <cell r="G51">
            <v>9759</v>
          </cell>
          <cell r="I51">
            <v>46867316</v>
          </cell>
          <cell r="Z51">
            <v>4250</v>
          </cell>
          <cell r="AB51">
            <v>20325823</v>
          </cell>
          <cell r="AF51">
            <v>12508000</v>
          </cell>
        </row>
        <row r="52">
          <cell r="C52" t="str">
            <v>3405142</v>
          </cell>
          <cell r="G52">
            <v>500</v>
          </cell>
          <cell r="I52">
            <v>1589957</v>
          </cell>
          <cell r="Z52">
            <v>500</v>
          </cell>
          <cell r="AB52">
            <v>1589957</v>
          </cell>
          <cell r="AF52">
            <v>0</v>
          </cell>
        </row>
        <row r="53">
          <cell r="C53" t="str">
            <v>3406101</v>
          </cell>
          <cell r="G53">
            <v>138752</v>
          </cell>
          <cell r="I53">
            <v>416957224</v>
          </cell>
          <cell r="Z53">
            <v>21750</v>
          </cell>
          <cell r="AB53">
            <v>65359920</v>
          </cell>
          <cell r="AF53">
            <v>0</v>
          </cell>
        </row>
        <row r="54">
          <cell r="C54" t="str">
            <v>3406102</v>
          </cell>
          <cell r="G54">
            <v>20391</v>
          </cell>
          <cell r="I54">
            <v>50977500</v>
          </cell>
          <cell r="Z54">
            <v>5250</v>
          </cell>
          <cell r="AB54">
            <v>13125000</v>
          </cell>
          <cell r="AF54">
            <v>0</v>
          </cell>
        </row>
        <row r="55">
          <cell r="C55" t="str">
            <v>3406103</v>
          </cell>
          <cell r="G55">
            <v>61771</v>
          </cell>
          <cell r="I55">
            <v>167591214</v>
          </cell>
          <cell r="Z55">
            <v>13450</v>
          </cell>
          <cell r="AB55">
            <v>36491263</v>
          </cell>
          <cell r="AF55">
            <v>0</v>
          </cell>
        </row>
        <row r="56">
          <cell r="C56" t="str">
            <v>3406105</v>
          </cell>
          <cell r="G56">
            <v>51246</v>
          </cell>
          <cell r="I56">
            <v>138702782</v>
          </cell>
          <cell r="Z56">
            <v>6250</v>
          </cell>
          <cell r="AB56">
            <v>16916294</v>
          </cell>
          <cell r="AF56">
            <v>0</v>
          </cell>
        </row>
        <row r="57">
          <cell r="C57" t="str">
            <v>3406107</v>
          </cell>
          <cell r="G57">
            <v>6850</v>
          </cell>
          <cell r="I57">
            <v>16503596</v>
          </cell>
          <cell r="Z57">
            <v>0</v>
          </cell>
          <cell r="AB57">
            <v>0</v>
          </cell>
          <cell r="AF57">
            <v>0</v>
          </cell>
        </row>
        <row r="58">
          <cell r="C58" t="str">
            <v>3406108</v>
          </cell>
          <cell r="G58">
            <v>600</v>
          </cell>
          <cell r="I58">
            <v>1803032</v>
          </cell>
          <cell r="Z58">
            <v>0</v>
          </cell>
          <cell r="AB58">
            <v>0</v>
          </cell>
          <cell r="AF58">
            <v>0</v>
          </cell>
        </row>
        <row r="59">
          <cell r="C59" t="str">
            <v>3406109</v>
          </cell>
          <cell r="G59">
            <v>925</v>
          </cell>
          <cell r="I59">
            <v>2509622</v>
          </cell>
          <cell r="Z59">
            <v>0</v>
          </cell>
          <cell r="AB59">
            <v>0</v>
          </cell>
          <cell r="AF59">
            <v>0</v>
          </cell>
        </row>
        <row r="60">
          <cell r="C60" t="str">
            <v>3406121</v>
          </cell>
          <cell r="G60">
            <v>150</v>
          </cell>
          <cell r="I60">
            <v>393549</v>
          </cell>
          <cell r="Z60">
            <v>0</v>
          </cell>
          <cell r="AB60">
            <v>0</v>
          </cell>
          <cell r="AF60">
            <v>0</v>
          </cell>
        </row>
        <row r="61">
          <cell r="C61" t="str">
            <v>3406122</v>
          </cell>
          <cell r="G61">
            <v>1902</v>
          </cell>
          <cell r="I61">
            <v>1902</v>
          </cell>
          <cell r="Z61">
            <v>0</v>
          </cell>
          <cell r="AB61">
            <v>0</v>
          </cell>
          <cell r="AF61">
            <v>0</v>
          </cell>
        </row>
        <row r="62">
          <cell r="C62" t="str">
            <v>3407001</v>
          </cell>
          <cell r="G62">
            <v>187</v>
          </cell>
          <cell r="I62">
            <v>1047200</v>
          </cell>
          <cell r="Z62">
            <v>0</v>
          </cell>
          <cell r="AB62">
            <v>0</v>
          </cell>
          <cell r="AF62">
            <v>0</v>
          </cell>
        </row>
        <row r="63">
          <cell r="C63" t="str">
            <v>3407002</v>
          </cell>
          <cell r="G63">
            <v>180</v>
          </cell>
          <cell r="I63">
            <v>1043597</v>
          </cell>
          <cell r="Z63">
            <v>193</v>
          </cell>
          <cell r="AB63">
            <v>1119266</v>
          </cell>
          <cell r="AF63">
            <v>2320000</v>
          </cell>
        </row>
        <row r="64">
          <cell r="C64" t="str">
            <v>3407003</v>
          </cell>
          <cell r="G64">
            <v>78</v>
          </cell>
          <cell r="I64">
            <v>819000</v>
          </cell>
          <cell r="Z64">
            <v>80</v>
          </cell>
          <cell r="AB64">
            <v>840000</v>
          </cell>
          <cell r="AF64">
            <v>2100000</v>
          </cell>
        </row>
        <row r="65">
          <cell r="C65" t="str">
            <v>3407005</v>
          </cell>
          <cell r="G65">
            <v>147</v>
          </cell>
          <cell r="I65">
            <v>713697</v>
          </cell>
          <cell r="Z65">
            <v>0</v>
          </cell>
          <cell r="AB65">
            <v>0</v>
          </cell>
          <cell r="AF65">
            <v>0</v>
          </cell>
        </row>
        <row r="66">
          <cell r="C66" t="str">
            <v>3407023</v>
          </cell>
          <cell r="G66">
            <v>380.16</v>
          </cell>
          <cell r="I66">
            <v>2204928</v>
          </cell>
          <cell r="Z66">
            <v>0</v>
          </cell>
          <cell r="AB66">
            <v>0</v>
          </cell>
          <cell r="AF66">
            <v>0</v>
          </cell>
        </row>
        <row r="67">
          <cell r="C67" t="str">
            <v>3407103</v>
          </cell>
          <cell r="G67">
            <v>15963.1</v>
          </cell>
          <cell r="I67">
            <v>40083146</v>
          </cell>
          <cell r="Z67">
            <v>13355</v>
          </cell>
          <cell r="AB67">
            <v>32635658</v>
          </cell>
          <cell r="AF67">
            <v>47800000</v>
          </cell>
        </row>
        <row r="68">
          <cell r="C68" t="str">
            <v>3407114</v>
          </cell>
          <cell r="G68">
            <v>0</v>
          </cell>
          <cell r="I68">
            <v>0</v>
          </cell>
          <cell r="Z68">
            <v>0</v>
          </cell>
          <cell r="AB68">
            <v>0</v>
          </cell>
          <cell r="AF68">
            <v>0</v>
          </cell>
        </row>
        <row r="69">
          <cell r="C69" t="str">
            <v>3407115</v>
          </cell>
          <cell r="G69">
            <v>0</v>
          </cell>
          <cell r="I69">
            <v>0</v>
          </cell>
          <cell r="Z69">
            <v>0</v>
          </cell>
          <cell r="AB69">
            <v>0</v>
          </cell>
          <cell r="AF69">
            <v>0</v>
          </cell>
        </row>
        <row r="70">
          <cell r="C70" t="str">
            <v>3408133</v>
          </cell>
          <cell r="G70">
            <v>0</v>
          </cell>
          <cell r="I70">
            <v>0</v>
          </cell>
          <cell r="Z70">
            <v>0</v>
          </cell>
          <cell r="AB70">
            <v>0</v>
          </cell>
          <cell r="AF70">
            <v>0</v>
          </cell>
        </row>
        <row r="71">
          <cell r="C71" t="str">
            <v>3408160</v>
          </cell>
          <cell r="G71">
            <v>0</v>
          </cell>
          <cell r="I71">
            <v>0</v>
          </cell>
          <cell r="Z71">
            <v>0</v>
          </cell>
          <cell r="AB71">
            <v>0</v>
          </cell>
          <cell r="AF71">
            <v>0</v>
          </cell>
        </row>
        <row r="72">
          <cell r="C72" t="str">
            <v>3408161</v>
          </cell>
          <cell r="G72">
            <v>176</v>
          </cell>
          <cell r="I72">
            <v>1520605</v>
          </cell>
          <cell r="Z72">
            <v>0</v>
          </cell>
          <cell r="AB72">
            <v>0</v>
          </cell>
          <cell r="AF72">
            <v>0</v>
          </cell>
        </row>
        <row r="73">
          <cell r="C73" t="str">
            <v>3408162</v>
          </cell>
          <cell r="G73">
            <v>0</v>
          </cell>
          <cell r="I73">
            <v>0</v>
          </cell>
          <cell r="Z73">
            <v>0</v>
          </cell>
          <cell r="AB73">
            <v>0</v>
          </cell>
          <cell r="AF73">
            <v>0</v>
          </cell>
        </row>
        <row r="74">
          <cell r="C74" t="str">
            <v>3409001</v>
          </cell>
          <cell r="G74">
            <v>0</v>
          </cell>
          <cell r="I74">
            <v>0</v>
          </cell>
          <cell r="Z74">
            <v>0</v>
          </cell>
          <cell r="AB74">
            <v>0</v>
          </cell>
          <cell r="AF74">
            <v>0</v>
          </cell>
        </row>
        <row r="75">
          <cell r="C75" t="str">
            <v>3409003</v>
          </cell>
          <cell r="G75">
            <v>3800</v>
          </cell>
          <cell r="I75">
            <v>12160000</v>
          </cell>
          <cell r="Z75">
            <v>550</v>
          </cell>
          <cell r="AB75">
            <v>1760000</v>
          </cell>
          <cell r="AF75">
            <v>0</v>
          </cell>
        </row>
        <row r="76">
          <cell r="C76" t="str">
            <v>3409005</v>
          </cell>
          <cell r="G76">
            <v>0</v>
          </cell>
          <cell r="I76">
            <v>0</v>
          </cell>
          <cell r="Z76">
            <v>0</v>
          </cell>
          <cell r="AB76">
            <v>0</v>
          </cell>
          <cell r="AF76">
            <v>0</v>
          </cell>
        </row>
        <row r="77">
          <cell r="C77" t="str">
            <v>3409101</v>
          </cell>
          <cell r="G77">
            <v>0</v>
          </cell>
          <cell r="I77">
            <v>0</v>
          </cell>
          <cell r="Z77">
            <v>0</v>
          </cell>
          <cell r="AB77">
            <v>0</v>
          </cell>
          <cell r="AF77">
            <v>0</v>
          </cell>
        </row>
        <row r="78">
          <cell r="C78" t="str">
            <v>3409102</v>
          </cell>
          <cell r="G78">
            <v>0</v>
          </cell>
          <cell r="I78">
            <v>0</v>
          </cell>
          <cell r="Z78">
            <v>0</v>
          </cell>
          <cell r="AB78">
            <v>0</v>
          </cell>
          <cell r="AF78">
            <v>0</v>
          </cell>
        </row>
        <row r="79">
          <cell r="C79" t="str">
            <v>3409105</v>
          </cell>
          <cell r="G79">
            <v>0</v>
          </cell>
          <cell r="I79">
            <v>0</v>
          </cell>
          <cell r="Z79">
            <v>0</v>
          </cell>
          <cell r="AB79">
            <v>0</v>
          </cell>
          <cell r="AF79">
            <v>0</v>
          </cell>
        </row>
        <row r="80">
          <cell r="C80" t="str">
            <v>3409107</v>
          </cell>
          <cell r="G80">
            <v>0</v>
          </cell>
          <cell r="I80">
            <v>0</v>
          </cell>
          <cell r="Z80">
            <v>0</v>
          </cell>
          <cell r="AB80">
            <v>0</v>
          </cell>
          <cell r="AF80">
            <v>0</v>
          </cell>
        </row>
        <row r="81">
          <cell r="C81" t="str">
            <v>3409109</v>
          </cell>
          <cell r="G81">
            <v>75</v>
          </cell>
          <cell r="I81">
            <v>262500</v>
          </cell>
          <cell r="Z81">
            <v>0</v>
          </cell>
          <cell r="AB81">
            <v>0</v>
          </cell>
          <cell r="AF81">
            <v>0</v>
          </cell>
        </row>
        <row r="82">
          <cell r="C82" t="str">
            <v>3409225</v>
          </cell>
          <cell r="G82">
            <v>21168</v>
          </cell>
          <cell r="I82">
            <v>104587248</v>
          </cell>
          <cell r="Z82">
            <v>0</v>
          </cell>
          <cell r="AB82">
            <v>0</v>
          </cell>
          <cell r="AF82">
            <v>0</v>
          </cell>
        </row>
        <row r="83">
          <cell r="C83" t="str">
            <v>3409301</v>
          </cell>
          <cell r="G83">
            <v>0</v>
          </cell>
          <cell r="I83">
            <v>0</v>
          </cell>
          <cell r="Z83">
            <v>0</v>
          </cell>
          <cell r="AB83">
            <v>0</v>
          </cell>
          <cell r="AF83">
            <v>0</v>
          </cell>
        </row>
        <row r="84">
          <cell r="C84" t="str">
            <v>3409401</v>
          </cell>
          <cell r="G84">
            <v>0</v>
          </cell>
          <cell r="I84">
            <v>0</v>
          </cell>
          <cell r="Z84">
            <v>0</v>
          </cell>
          <cell r="AB84">
            <v>0</v>
          </cell>
          <cell r="AF84">
            <v>0</v>
          </cell>
        </row>
        <row r="85">
          <cell r="C85" t="str">
            <v>3409402</v>
          </cell>
          <cell r="G85">
            <v>6205.85</v>
          </cell>
          <cell r="I85">
            <v>24982354</v>
          </cell>
          <cell r="Z85">
            <v>421</v>
          </cell>
          <cell r="AB85">
            <v>1694783</v>
          </cell>
          <cell r="AF85">
            <v>0</v>
          </cell>
        </row>
        <row r="86">
          <cell r="C86" t="str">
            <v>3409403</v>
          </cell>
          <cell r="G86">
            <v>24100</v>
          </cell>
          <cell r="I86">
            <v>91580000</v>
          </cell>
          <cell r="Z86">
            <v>21225</v>
          </cell>
          <cell r="AB86">
            <v>76681521</v>
          </cell>
          <cell r="AF86">
            <v>140000000</v>
          </cell>
        </row>
        <row r="87">
          <cell r="C87" t="str">
            <v>3409404</v>
          </cell>
          <cell r="G87">
            <v>2275</v>
          </cell>
          <cell r="I87">
            <v>8303750</v>
          </cell>
          <cell r="Z87">
            <v>0</v>
          </cell>
          <cell r="AB87">
            <v>0</v>
          </cell>
          <cell r="AF87">
            <v>0</v>
          </cell>
        </row>
        <row r="88">
          <cell r="C88" t="str">
            <v>3410000</v>
          </cell>
          <cell r="G88">
            <v>1085</v>
          </cell>
          <cell r="I88">
            <v>1844020</v>
          </cell>
          <cell r="Z88">
            <v>0</v>
          </cell>
          <cell r="AB88">
            <v>0</v>
          </cell>
          <cell r="AF88">
            <v>0</v>
          </cell>
        </row>
        <row r="89">
          <cell r="C89" t="str">
            <v>3410101</v>
          </cell>
          <cell r="G89">
            <v>152</v>
          </cell>
          <cell r="I89">
            <v>161233</v>
          </cell>
          <cell r="Z89">
            <v>0</v>
          </cell>
          <cell r="AB89">
            <v>0</v>
          </cell>
          <cell r="AF89">
            <v>0</v>
          </cell>
        </row>
        <row r="90">
          <cell r="C90" t="str">
            <v>3410141</v>
          </cell>
          <cell r="G90">
            <v>0</v>
          </cell>
          <cell r="I90">
            <v>0</v>
          </cell>
          <cell r="Z90">
            <v>0</v>
          </cell>
          <cell r="AB90">
            <v>0</v>
          </cell>
          <cell r="AF90">
            <v>0</v>
          </cell>
        </row>
        <row r="91">
          <cell r="C91" t="str">
            <v>3410195</v>
          </cell>
          <cell r="G91">
            <v>0</v>
          </cell>
          <cell r="I91">
            <v>0</v>
          </cell>
          <cell r="Z91">
            <v>0</v>
          </cell>
          <cell r="AB91">
            <v>0</v>
          </cell>
          <cell r="AF91">
            <v>0</v>
          </cell>
        </row>
        <row r="92">
          <cell r="C92" t="str">
            <v>3410201</v>
          </cell>
          <cell r="G92">
            <v>0</v>
          </cell>
          <cell r="I92">
            <v>0</v>
          </cell>
          <cell r="Z92">
            <v>0</v>
          </cell>
          <cell r="AB92">
            <v>0</v>
          </cell>
          <cell r="AF92">
            <v>0</v>
          </cell>
        </row>
        <row r="93">
          <cell r="C93" t="str">
            <v>3410211</v>
          </cell>
          <cell r="G93">
            <v>2276.5</v>
          </cell>
          <cell r="I93">
            <v>4560807</v>
          </cell>
          <cell r="Z93">
            <v>0</v>
          </cell>
          <cell r="AB93">
            <v>0</v>
          </cell>
          <cell r="AF93">
            <v>0</v>
          </cell>
        </row>
        <row r="94">
          <cell r="C94" t="str">
            <v>3410221</v>
          </cell>
          <cell r="G94">
            <v>125</v>
          </cell>
          <cell r="I94">
            <v>167484</v>
          </cell>
          <cell r="Z94">
            <v>0</v>
          </cell>
          <cell r="AB94">
            <v>0</v>
          </cell>
          <cell r="AF94">
            <v>0</v>
          </cell>
        </row>
        <row r="95">
          <cell r="C95" t="str">
            <v>3410240</v>
          </cell>
          <cell r="G95">
            <v>0</v>
          </cell>
          <cell r="I95">
            <v>0</v>
          </cell>
          <cell r="Z95">
            <v>0</v>
          </cell>
          <cell r="AB95">
            <v>0</v>
          </cell>
          <cell r="AF95">
            <v>0</v>
          </cell>
        </row>
        <row r="96">
          <cell r="C96" t="str">
            <v>3410241</v>
          </cell>
          <cell r="G96">
            <v>0</v>
          </cell>
          <cell r="I96">
            <v>0</v>
          </cell>
          <cell r="Z96">
            <v>0</v>
          </cell>
          <cell r="AB96">
            <v>0</v>
          </cell>
          <cell r="AF96">
            <v>0</v>
          </cell>
        </row>
        <row r="97">
          <cell r="C97" t="str">
            <v>3410245</v>
          </cell>
          <cell r="G97">
            <v>60</v>
          </cell>
          <cell r="I97">
            <v>300000</v>
          </cell>
          <cell r="Z97">
            <v>0</v>
          </cell>
          <cell r="AB97">
            <v>0</v>
          </cell>
          <cell r="AF97">
            <v>0</v>
          </cell>
        </row>
        <row r="98">
          <cell r="C98" t="str">
            <v>3410246</v>
          </cell>
          <cell r="G98">
            <v>120</v>
          </cell>
          <cell r="I98">
            <v>612000</v>
          </cell>
          <cell r="Z98">
            <v>0</v>
          </cell>
          <cell r="AB98">
            <v>0</v>
          </cell>
          <cell r="AF98">
            <v>0</v>
          </cell>
        </row>
        <row r="99">
          <cell r="C99" t="str">
            <v>3411101</v>
          </cell>
          <cell r="G99">
            <v>0</v>
          </cell>
          <cell r="I99">
            <v>0</v>
          </cell>
          <cell r="Z99">
            <v>0</v>
          </cell>
          <cell r="AB99">
            <v>0</v>
          </cell>
          <cell r="AF99">
            <v>0</v>
          </cell>
        </row>
        <row r="100">
          <cell r="C100" t="str">
            <v>3411102</v>
          </cell>
          <cell r="G100">
            <v>0</v>
          </cell>
          <cell r="I100">
            <v>0</v>
          </cell>
          <cell r="Z100">
            <v>0</v>
          </cell>
          <cell r="AB100">
            <v>0</v>
          </cell>
          <cell r="AF100">
            <v>0</v>
          </cell>
        </row>
        <row r="101">
          <cell r="C101" t="str">
            <v>3411201</v>
          </cell>
          <cell r="G101">
            <v>0</v>
          </cell>
          <cell r="I101">
            <v>0</v>
          </cell>
          <cell r="Z101">
            <v>0</v>
          </cell>
          <cell r="AB101">
            <v>0</v>
          </cell>
          <cell r="AF101">
            <v>0</v>
          </cell>
        </row>
        <row r="102">
          <cell r="C102" t="str">
            <v>3412101</v>
          </cell>
          <cell r="G102">
            <v>25025.96</v>
          </cell>
          <cell r="I102">
            <v>48881322</v>
          </cell>
          <cell r="Z102">
            <v>16369</v>
          </cell>
          <cell r="AB102">
            <v>31803470</v>
          </cell>
          <cell r="AF102">
            <v>38600000</v>
          </cell>
        </row>
        <row r="103">
          <cell r="C103" t="str">
            <v>3412103</v>
          </cell>
          <cell r="G103">
            <v>0</v>
          </cell>
          <cell r="I103">
            <v>0</v>
          </cell>
          <cell r="Z103">
            <v>0</v>
          </cell>
          <cell r="AB103">
            <v>0</v>
          </cell>
          <cell r="AF103">
            <v>0</v>
          </cell>
        </row>
        <row r="104">
          <cell r="C104" t="str">
            <v>3412105</v>
          </cell>
          <cell r="G104">
            <v>0</v>
          </cell>
          <cell r="I104">
            <v>0</v>
          </cell>
          <cell r="Z104">
            <v>0</v>
          </cell>
          <cell r="AB104">
            <v>0</v>
          </cell>
          <cell r="AF104">
            <v>0</v>
          </cell>
        </row>
        <row r="105">
          <cell r="C105" t="str">
            <v>3412201</v>
          </cell>
          <cell r="G105">
            <v>0</v>
          </cell>
          <cell r="I105">
            <v>0</v>
          </cell>
          <cell r="Z105">
            <v>0</v>
          </cell>
          <cell r="AB105">
            <v>0</v>
          </cell>
          <cell r="AF105">
            <v>0</v>
          </cell>
        </row>
        <row r="106">
          <cell r="C106" t="str">
            <v>3412205</v>
          </cell>
          <cell r="G106">
            <v>125</v>
          </cell>
          <cell r="I106">
            <v>213216</v>
          </cell>
          <cell r="Z106">
            <v>25</v>
          </cell>
          <cell r="AB106">
            <v>42643</v>
          </cell>
          <cell r="AF106">
            <v>0</v>
          </cell>
        </row>
        <row r="107">
          <cell r="C107" t="str">
            <v>3412207</v>
          </cell>
          <cell r="G107">
            <v>482.7</v>
          </cell>
          <cell r="I107">
            <v>791628</v>
          </cell>
          <cell r="Z107">
            <v>0</v>
          </cell>
          <cell r="AB107">
            <v>0</v>
          </cell>
          <cell r="AF107">
            <v>0</v>
          </cell>
        </row>
        <row r="108">
          <cell r="C108" t="str">
            <v>3412701</v>
          </cell>
          <cell r="G108">
            <v>0</v>
          </cell>
          <cell r="I108">
            <v>0</v>
          </cell>
          <cell r="Z108">
            <v>0</v>
          </cell>
          <cell r="AB108">
            <v>0</v>
          </cell>
          <cell r="AF108">
            <v>0</v>
          </cell>
        </row>
        <row r="109">
          <cell r="C109" t="str">
            <v>3412851</v>
          </cell>
          <cell r="G109">
            <v>0</v>
          </cell>
          <cell r="I109">
            <v>0</v>
          </cell>
          <cell r="Z109">
            <v>0</v>
          </cell>
          <cell r="AB109">
            <v>0</v>
          </cell>
          <cell r="AF109">
            <v>0</v>
          </cell>
        </row>
        <row r="110">
          <cell r="C110" t="str">
            <v>3413002</v>
          </cell>
          <cell r="G110">
            <v>11530.1</v>
          </cell>
          <cell r="I110">
            <v>21819094</v>
          </cell>
          <cell r="Z110">
            <v>7432</v>
          </cell>
          <cell r="AB110">
            <v>13673993</v>
          </cell>
          <cell r="AF110">
            <v>36652500</v>
          </cell>
        </row>
        <row r="111">
          <cell r="C111" t="str">
            <v>3413003</v>
          </cell>
          <cell r="G111">
            <v>912</v>
          </cell>
          <cell r="I111">
            <v>1604892</v>
          </cell>
          <cell r="Z111">
            <v>0</v>
          </cell>
          <cell r="AB111">
            <v>0</v>
          </cell>
          <cell r="AF111">
            <v>0</v>
          </cell>
        </row>
        <row r="112">
          <cell r="C112" t="str">
            <v>3413005</v>
          </cell>
          <cell r="G112">
            <v>0</v>
          </cell>
          <cell r="I112">
            <v>0</v>
          </cell>
          <cell r="Z112">
            <v>0</v>
          </cell>
          <cell r="AB112">
            <v>0</v>
          </cell>
          <cell r="AF112">
            <v>0</v>
          </cell>
        </row>
        <row r="113">
          <cell r="C113" t="str">
            <v>3413007</v>
          </cell>
          <cell r="G113">
            <v>0</v>
          </cell>
          <cell r="I113">
            <v>0</v>
          </cell>
          <cell r="Z113">
            <v>0</v>
          </cell>
          <cell r="AB113">
            <v>0</v>
          </cell>
          <cell r="AF113">
            <v>0</v>
          </cell>
        </row>
        <row r="114">
          <cell r="C114" t="str">
            <v>3413008</v>
          </cell>
          <cell r="G114">
            <v>0</v>
          </cell>
          <cell r="I114">
            <v>0</v>
          </cell>
          <cell r="Z114">
            <v>0</v>
          </cell>
          <cell r="AB114">
            <v>0</v>
          </cell>
          <cell r="AF114">
            <v>0</v>
          </cell>
        </row>
        <row r="115">
          <cell r="C115" t="str">
            <v>3413009</v>
          </cell>
          <cell r="G115">
            <v>142.5</v>
          </cell>
          <cell r="I115">
            <v>247594</v>
          </cell>
          <cell r="Z115">
            <v>0</v>
          </cell>
          <cell r="AB115">
            <v>0</v>
          </cell>
          <cell r="AF115">
            <v>0</v>
          </cell>
        </row>
        <row r="116">
          <cell r="C116" t="str">
            <v>3413021</v>
          </cell>
          <cell r="G116">
            <v>13035</v>
          </cell>
          <cell r="I116">
            <v>23431601</v>
          </cell>
          <cell r="Z116">
            <v>9200.5</v>
          </cell>
          <cell r="AB116">
            <v>16228390</v>
          </cell>
          <cell r="AF116">
            <v>17243000</v>
          </cell>
        </row>
        <row r="117">
          <cell r="C117" t="str">
            <v>3413022</v>
          </cell>
          <cell r="G117">
            <v>6401</v>
          </cell>
          <cell r="I117">
            <v>12159287</v>
          </cell>
          <cell r="Z117">
            <v>0</v>
          </cell>
          <cell r="AB117">
            <v>0</v>
          </cell>
          <cell r="AF117">
            <v>0</v>
          </cell>
        </row>
        <row r="118">
          <cell r="C118" t="str">
            <v>3413101</v>
          </cell>
          <cell r="G118">
            <v>1982</v>
          </cell>
          <cell r="I118">
            <v>9804894</v>
          </cell>
          <cell r="Z118">
            <v>0</v>
          </cell>
          <cell r="AB118">
            <v>0</v>
          </cell>
          <cell r="AF118">
            <v>24537532</v>
          </cell>
        </row>
        <row r="119">
          <cell r="C119" t="str">
            <v>3413107</v>
          </cell>
          <cell r="G119">
            <v>0</v>
          </cell>
          <cell r="I119">
            <v>0</v>
          </cell>
          <cell r="Z119">
            <v>0</v>
          </cell>
          <cell r="AB119">
            <v>0</v>
          </cell>
          <cell r="AF119">
            <v>0</v>
          </cell>
        </row>
        <row r="120">
          <cell r="C120" t="str">
            <v>3413121</v>
          </cell>
          <cell r="G120">
            <v>0</v>
          </cell>
          <cell r="I120">
            <v>0</v>
          </cell>
          <cell r="Z120">
            <v>0</v>
          </cell>
          <cell r="AB120">
            <v>0</v>
          </cell>
          <cell r="AF120">
            <v>0</v>
          </cell>
        </row>
        <row r="121">
          <cell r="C121" t="str">
            <v>3413151</v>
          </cell>
          <cell r="G121">
            <v>0</v>
          </cell>
          <cell r="I121">
            <v>0</v>
          </cell>
          <cell r="Z121">
            <v>0</v>
          </cell>
          <cell r="AB121">
            <v>0</v>
          </cell>
          <cell r="AF121">
            <v>0</v>
          </cell>
        </row>
        <row r="122">
          <cell r="C122" t="str">
            <v>3413201</v>
          </cell>
          <cell r="G122">
            <v>0</v>
          </cell>
          <cell r="I122">
            <v>0</v>
          </cell>
          <cell r="Z122">
            <v>175</v>
          </cell>
          <cell r="AB122">
            <v>447095</v>
          </cell>
          <cell r="AF122">
            <v>447095</v>
          </cell>
        </row>
        <row r="123">
          <cell r="C123" t="str">
            <v>3413221</v>
          </cell>
          <cell r="G123">
            <v>0</v>
          </cell>
          <cell r="I123">
            <v>0</v>
          </cell>
          <cell r="Z123">
            <v>0</v>
          </cell>
          <cell r="AB123">
            <v>0</v>
          </cell>
          <cell r="AF123">
            <v>0</v>
          </cell>
        </row>
        <row r="124">
          <cell r="C124" t="str">
            <v>3413301</v>
          </cell>
          <cell r="G124">
            <v>0</v>
          </cell>
          <cell r="I124">
            <v>0</v>
          </cell>
          <cell r="Z124">
            <v>0</v>
          </cell>
          <cell r="AB124">
            <v>0</v>
          </cell>
          <cell r="AF124">
            <v>0</v>
          </cell>
        </row>
        <row r="125">
          <cell r="C125" t="str">
            <v>3413303</v>
          </cell>
          <cell r="G125">
            <v>0</v>
          </cell>
          <cell r="I125">
            <v>0</v>
          </cell>
          <cell r="Z125">
            <v>0</v>
          </cell>
          <cell r="AB125">
            <v>0</v>
          </cell>
          <cell r="AF125">
            <v>0</v>
          </cell>
        </row>
        <row r="126">
          <cell r="C126" t="str">
            <v>3413305</v>
          </cell>
          <cell r="G126">
            <v>4135</v>
          </cell>
          <cell r="I126">
            <v>3302352</v>
          </cell>
          <cell r="Z126">
            <v>0</v>
          </cell>
          <cell r="AB126">
            <v>0</v>
          </cell>
          <cell r="AF126">
            <v>0</v>
          </cell>
        </row>
        <row r="127">
          <cell r="C127" t="str">
            <v>3413306</v>
          </cell>
          <cell r="G127">
            <v>0</v>
          </cell>
          <cell r="I127">
            <v>0</v>
          </cell>
          <cell r="Z127">
            <v>0</v>
          </cell>
          <cell r="AB127">
            <v>0</v>
          </cell>
          <cell r="AF127">
            <v>0</v>
          </cell>
        </row>
        <row r="128">
          <cell r="C128" t="str">
            <v>3413307</v>
          </cell>
          <cell r="G128">
            <v>0</v>
          </cell>
          <cell r="I128">
            <v>0</v>
          </cell>
          <cell r="Z128">
            <v>0</v>
          </cell>
          <cell r="AB128">
            <v>0</v>
          </cell>
          <cell r="AF128">
            <v>0</v>
          </cell>
        </row>
        <row r="129">
          <cell r="C129" t="str">
            <v>3413351</v>
          </cell>
          <cell r="G129">
            <v>0</v>
          </cell>
          <cell r="I129">
            <v>0</v>
          </cell>
          <cell r="Z129">
            <v>0</v>
          </cell>
          <cell r="AB129">
            <v>0</v>
          </cell>
          <cell r="AF129">
            <v>0</v>
          </cell>
        </row>
        <row r="130">
          <cell r="C130" t="str">
            <v>3413361</v>
          </cell>
          <cell r="G130">
            <v>0</v>
          </cell>
          <cell r="I130">
            <v>0</v>
          </cell>
          <cell r="Z130">
            <v>0</v>
          </cell>
          <cell r="AB130">
            <v>0</v>
          </cell>
          <cell r="AF130">
            <v>0</v>
          </cell>
        </row>
        <row r="131">
          <cell r="C131" t="str">
            <v>3413371</v>
          </cell>
          <cell r="G131">
            <v>0</v>
          </cell>
          <cell r="I131">
            <v>0</v>
          </cell>
          <cell r="Z131">
            <v>0</v>
          </cell>
          <cell r="AB131">
            <v>0</v>
          </cell>
          <cell r="AF131">
            <v>0</v>
          </cell>
        </row>
        <row r="132">
          <cell r="C132" t="str">
            <v>3414085</v>
          </cell>
          <cell r="G132">
            <v>125</v>
          </cell>
          <cell r="I132">
            <v>125</v>
          </cell>
          <cell r="Z132">
            <v>0</v>
          </cell>
          <cell r="AB132">
            <v>0</v>
          </cell>
          <cell r="AF132">
            <v>0</v>
          </cell>
        </row>
        <row r="133">
          <cell r="C133" t="str">
            <v>3414086</v>
          </cell>
          <cell r="G133">
            <v>1041</v>
          </cell>
          <cell r="I133">
            <v>4734219</v>
          </cell>
          <cell r="Z133">
            <v>8080</v>
          </cell>
          <cell r="AB133">
            <v>37140608</v>
          </cell>
          <cell r="AF133">
            <v>69000000</v>
          </cell>
        </row>
        <row r="134">
          <cell r="C134" t="str">
            <v>3414101</v>
          </cell>
          <cell r="G134">
            <v>8645.5</v>
          </cell>
          <cell r="I134">
            <v>36940200</v>
          </cell>
          <cell r="Z134">
            <v>6122</v>
          </cell>
          <cell r="AB134">
            <v>23687586</v>
          </cell>
          <cell r="AF134">
            <v>52847822</v>
          </cell>
        </row>
        <row r="135">
          <cell r="C135" t="str">
            <v>3414102</v>
          </cell>
          <cell r="G135">
            <v>0</v>
          </cell>
          <cell r="I135">
            <v>0</v>
          </cell>
          <cell r="Z135">
            <v>0</v>
          </cell>
          <cell r="AB135">
            <v>0</v>
          </cell>
          <cell r="AF135">
            <v>0</v>
          </cell>
        </row>
        <row r="136">
          <cell r="C136" t="str">
            <v>3414117</v>
          </cell>
          <cell r="G136">
            <v>29</v>
          </cell>
          <cell r="I136">
            <v>139118</v>
          </cell>
          <cell r="Z136">
            <v>29</v>
          </cell>
          <cell r="AB136">
            <v>139118</v>
          </cell>
          <cell r="AF136">
            <v>0</v>
          </cell>
        </row>
        <row r="137">
          <cell r="C137" t="str">
            <v>3414121</v>
          </cell>
          <cell r="G137">
            <v>0</v>
          </cell>
          <cell r="I137">
            <v>0</v>
          </cell>
          <cell r="Z137">
            <v>0</v>
          </cell>
          <cell r="AB137">
            <v>0</v>
          </cell>
          <cell r="AF137">
            <v>0</v>
          </cell>
        </row>
        <row r="138">
          <cell r="C138" t="str">
            <v>3415114</v>
          </cell>
          <cell r="G138">
            <v>0</v>
          </cell>
          <cell r="I138">
            <v>0</v>
          </cell>
          <cell r="Z138">
            <v>325</v>
          </cell>
          <cell r="AB138">
            <v>1087551</v>
          </cell>
          <cell r="AF138">
            <v>1087551</v>
          </cell>
        </row>
        <row r="139">
          <cell r="C139" t="str">
            <v>3416001</v>
          </cell>
          <cell r="G139">
            <v>0</v>
          </cell>
          <cell r="I139">
            <v>0</v>
          </cell>
          <cell r="Z139">
            <v>0</v>
          </cell>
          <cell r="AB139">
            <v>0</v>
          </cell>
          <cell r="AF139">
            <v>0</v>
          </cell>
        </row>
        <row r="140">
          <cell r="C140" t="str">
            <v>3416021</v>
          </cell>
          <cell r="G140">
            <v>1235.56</v>
          </cell>
          <cell r="I140">
            <v>5133577</v>
          </cell>
          <cell r="Z140">
            <v>982</v>
          </cell>
          <cell r="AB140">
            <v>4023609</v>
          </cell>
          <cell r="AF140">
            <v>6075000</v>
          </cell>
        </row>
        <row r="141">
          <cell r="C141" t="str">
            <v>3416022</v>
          </cell>
          <cell r="G141">
            <v>0</v>
          </cell>
          <cell r="I141">
            <v>0</v>
          </cell>
          <cell r="Z141">
            <v>0</v>
          </cell>
          <cell r="AB141">
            <v>0</v>
          </cell>
          <cell r="AF141">
            <v>0</v>
          </cell>
        </row>
        <row r="142">
          <cell r="C142" t="str">
            <v>3416031</v>
          </cell>
          <cell r="G142">
            <v>0</v>
          </cell>
          <cell r="I142">
            <v>0</v>
          </cell>
          <cell r="Z142">
            <v>0</v>
          </cell>
          <cell r="AB142">
            <v>0</v>
          </cell>
          <cell r="AF142">
            <v>0</v>
          </cell>
        </row>
        <row r="143">
          <cell r="C143" t="str">
            <v>3422001</v>
          </cell>
          <cell r="G143">
            <v>0</v>
          </cell>
          <cell r="I143">
            <v>0</v>
          </cell>
          <cell r="Z143">
            <v>0</v>
          </cell>
          <cell r="AB143">
            <v>0</v>
          </cell>
          <cell r="AF143">
            <v>0</v>
          </cell>
        </row>
        <row r="144">
          <cell r="C144" t="str">
            <v>3422002</v>
          </cell>
          <cell r="G144">
            <v>3260.7</v>
          </cell>
          <cell r="I144">
            <v>12889257</v>
          </cell>
          <cell r="Z144">
            <v>0</v>
          </cell>
          <cell r="AB144">
            <v>0</v>
          </cell>
          <cell r="AF144">
            <v>0</v>
          </cell>
        </row>
        <row r="145">
          <cell r="C145" t="str">
            <v>3422050</v>
          </cell>
          <cell r="G145">
            <v>3226</v>
          </cell>
          <cell r="I145">
            <v>0</v>
          </cell>
          <cell r="Z145">
            <v>3200</v>
          </cell>
          <cell r="AB145">
            <v>0</v>
          </cell>
          <cell r="AF145">
            <v>0</v>
          </cell>
        </row>
        <row r="146">
          <cell r="C146" t="str">
            <v>3423001</v>
          </cell>
          <cell r="G146">
            <v>0</v>
          </cell>
          <cell r="I146">
            <v>0</v>
          </cell>
          <cell r="Z146">
            <v>0</v>
          </cell>
          <cell r="AB146">
            <v>0</v>
          </cell>
          <cell r="AF146">
            <v>0</v>
          </cell>
        </row>
        <row r="147">
          <cell r="C147" t="str">
            <v>3425001</v>
          </cell>
          <cell r="G147">
            <v>0</v>
          </cell>
          <cell r="I147">
            <v>0</v>
          </cell>
          <cell r="Z147">
            <v>0</v>
          </cell>
          <cell r="AB147">
            <v>0</v>
          </cell>
          <cell r="AF147">
            <v>0</v>
          </cell>
        </row>
        <row r="148">
          <cell r="C148" t="str">
            <v>3425010</v>
          </cell>
          <cell r="G148">
            <v>0</v>
          </cell>
          <cell r="I148">
            <v>0</v>
          </cell>
          <cell r="Z148">
            <v>0</v>
          </cell>
          <cell r="AB148">
            <v>0</v>
          </cell>
          <cell r="AF148">
            <v>0</v>
          </cell>
        </row>
        <row r="149">
          <cell r="C149" t="str">
            <v>3427001</v>
          </cell>
          <cell r="G149">
            <v>0</v>
          </cell>
          <cell r="I149">
            <v>0</v>
          </cell>
          <cell r="Z149">
            <v>0</v>
          </cell>
          <cell r="AB149">
            <v>0</v>
          </cell>
          <cell r="AF149">
            <v>0</v>
          </cell>
        </row>
        <row r="150">
          <cell r="C150" t="str">
            <v>3427002</v>
          </cell>
          <cell r="G150">
            <v>0</v>
          </cell>
          <cell r="I150">
            <v>0</v>
          </cell>
          <cell r="Z150">
            <v>0</v>
          </cell>
          <cell r="AB150">
            <v>0</v>
          </cell>
          <cell r="AF150">
            <v>0</v>
          </cell>
        </row>
        <row r="151">
          <cell r="C151" t="str">
            <v>3428001</v>
          </cell>
          <cell r="G151">
            <v>0</v>
          </cell>
          <cell r="I151">
            <v>0</v>
          </cell>
          <cell r="Z151">
            <v>0</v>
          </cell>
          <cell r="AB151">
            <v>0</v>
          </cell>
          <cell r="AF151">
            <v>0</v>
          </cell>
        </row>
        <row r="152">
          <cell r="C152" t="str">
            <v>3429001</v>
          </cell>
          <cell r="G152">
            <v>0</v>
          </cell>
          <cell r="I152">
            <v>0</v>
          </cell>
          <cell r="Z152">
            <v>0</v>
          </cell>
          <cell r="AB152">
            <v>0</v>
          </cell>
          <cell r="AF152">
            <v>0</v>
          </cell>
        </row>
        <row r="153">
          <cell r="C153" t="str">
            <v>3429003</v>
          </cell>
          <cell r="G153">
            <v>0</v>
          </cell>
          <cell r="I153">
            <v>0</v>
          </cell>
          <cell r="Z153">
            <v>0</v>
          </cell>
          <cell r="AB153">
            <v>0</v>
          </cell>
          <cell r="AF153">
            <v>0</v>
          </cell>
        </row>
        <row r="154">
          <cell r="C154" t="str">
            <v>3429009</v>
          </cell>
          <cell r="G154">
            <v>0</v>
          </cell>
          <cell r="I154">
            <v>0</v>
          </cell>
          <cell r="Z154">
            <v>0</v>
          </cell>
          <cell r="AB154">
            <v>0</v>
          </cell>
          <cell r="AF154">
            <v>0</v>
          </cell>
        </row>
        <row r="155">
          <cell r="C155" t="str">
            <v>3429018</v>
          </cell>
          <cell r="G155">
            <v>0</v>
          </cell>
          <cell r="I155">
            <v>0</v>
          </cell>
          <cell r="Z155">
            <v>0</v>
          </cell>
          <cell r="AB155">
            <v>0</v>
          </cell>
          <cell r="AF155">
            <v>0</v>
          </cell>
        </row>
        <row r="156">
          <cell r="C156" t="str">
            <v>3429020</v>
          </cell>
          <cell r="G156">
            <v>0</v>
          </cell>
          <cell r="I156">
            <v>0</v>
          </cell>
          <cell r="Z156">
            <v>0</v>
          </cell>
          <cell r="AB156">
            <v>0</v>
          </cell>
          <cell r="AF156">
            <v>0</v>
          </cell>
        </row>
        <row r="157">
          <cell r="C157" t="str">
            <v>3429022</v>
          </cell>
          <cell r="G157">
            <v>0</v>
          </cell>
          <cell r="I157">
            <v>0</v>
          </cell>
          <cell r="Z157">
            <v>0</v>
          </cell>
          <cell r="AB157">
            <v>0</v>
          </cell>
          <cell r="AF157">
            <v>0</v>
          </cell>
        </row>
        <row r="158">
          <cell r="C158" t="str">
            <v>3429023</v>
          </cell>
          <cell r="G158">
            <v>0</v>
          </cell>
          <cell r="I158">
            <v>0</v>
          </cell>
          <cell r="Z158">
            <v>0</v>
          </cell>
          <cell r="AB158">
            <v>0</v>
          </cell>
          <cell r="AF158">
            <v>0</v>
          </cell>
        </row>
        <row r="159">
          <cell r="C159" t="str">
            <v>3429024</v>
          </cell>
          <cell r="G159">
            <v>0</v>
          </cell>
          <cell r="I159">
            <v>0</v>
          </cell>
          <cell r="Z159">
            <v>0</v>
          </cell>
          <cell r="AB159">
            <v>0</v>
          </cell>
          <cell r="AF159">
            <v>0</v>
          </cell>
        </row>
        <row r="160">
          <cell r="C160" t="str">
            <v>3449001</v>
          </cell>
          <cell r="G160">
            <v>0</v>
          </cell>
          <cell r="I160">
            <v>0</v>
          </cell>
          <cell r="Z160">
            <v>0</v>
          </cell>
          <cell r="AB160">
            <v>0</v>
          </cell>
          <cell r="AF160">
            <v>0</v>
          </cell>
        </row>
        <row r="161">
          <cell r="C161" t="str">
            <v>3451001</v>
          </cell>
          <cell r="G161">
            <v>0</v>
          </cell>
          <cell r="I161">
            <v>0</v>
          </cell>
          <cell r="Z161">
            <v>0</v>
          </cell>
          <cell r="AB161">
            <v>0</v>
          </cell>
          <cell r="AF161">
            <v>0</v>
          </cell>
        </row>
        <row r="162">
          <cell r="C162" t="str">
            <v>3451002</v>
          </cell>
          <cell r="G162">
            <v>0</v>
          </cell>
          <cell r="I162">
            <v>0</v>
          </cell>
          <cell r="Z162">
            <v>0</v>
          </cell>
          <cell r="AB162">
            <v>0</v>
          </cell>
          <cell r="AF162">
            <v>0</v>
          </cell>
        </row>
        <row r="163">
          <cell r="C163" t="str">
            <v>3451003</v>
          </cell>
          <cell r="G163">
            <v>0</v>
          </cell>
          <cell r="I163">
            <v>0</v>
          </cell>
          <cell r="Z163">
            <v>0</v>
          </cell>
          <cell r="AB163">
            <v>0</v>
          </cell>
          <cell r="AF163">
            <v>0</v>
          </cell>
        </row>
        <row r="164">
          <cell r="C164" t="str">
            <v>3451004</v>
          </cell>
          <cell r="G164">
            <v>0</v>
          </cell>
          <cell r="I164">
            <v>0</v>
          </cell>
          <cell r="Z164">
            <v>0</v>
          </cell>
          <cell r="AB164">
            <v>0</v>
          </cell>
          <cell r="AF164">
            <v>0</v>
          </cell>
        </row>
        <row r="165">
          <cell r="C165" t="str">
            <v>3451005</v>
          </cell>
          <cell r="G165">
            <v>51.28</v>
          </cell>
          <cell r="I165">
            <v>248823</v>
          </cell>
          <cell r="Z165">
            <v>0</v>
          </cell>
          <cell r="AB165">
            <v>0</v>
          </cell>
          <cell r="AF165">
            <v>0</v>
          </cell>
        </row>
        <row r="166">
          <cell r="C166" t="str">
            <v>3451006</v>
          </cell>
          <cell r="G166">
            <v>0</v>
          </cell>
          <cell r="I166">
            <v>0</v>
          </cell>
          <cell r="Z166">
            <v>0</v>
          </cell>
          <cell r="AB166">
            <v>0</v>
          </cell>
          <cell r="AF166">
            <v>0</v>
          </cell>
        </row>
        <row r="167">
          <cell r="C167" t="str">
            <v>3451051</v>
          </cell>
          <cell r="G167">
            <v>1714.78</v>
          </cell>
          <cell r="I167">
            <v>10628998</v>
          </cell>
          <cell r="Z167">
            <v>111</v>
          </cell>
          <cell r="AB167">
            <v>688029</v>
          </cell>
          <cell r="AF167">
            <v>0</v>
          </cell>
        </row>
        <row r="168">
          <cell r="C168" t="str">
            <v>3451052</v>
          </cell>
          <cell r="G168">
            <v>2260.5700000000002</v>
          </cell>
          <cell r="I168">
            <v>13572992</v>
          </cell>
          <cell r="Z168">
            <v>70</v>
          </cell>
          <cell r="AB168">
            <v>420296</v>
          </cell>
          <cell r="AF168">
            <v>0</v>
          </cell>
        </row>
        <row r="169">
          <cell r="C169" t="str">
            <v>3452003</v>
          </cell>
          <cell r="G169">
            <v>0</v>
          </cell>
          <cell r="I169">
            <v>0</v>
          </cell>
          <cell r="Z169">
            <v>0</v>
          </cell>
          <cell r="AB169">
            <v>0</v>
          </cell>
          <cell r="AF169">
            <v>0</v>
          </cell>
        </row>
        <row r="170">
          <cell r="C170" t="str">
            <v>3452004</v>
          </cell>
          <cell r="G170">
            <v>0</v>
          </cell>
          <cell r="I170">
            <v>0</v>
          </cell>
          <cell r="Z170">
            <v>0</v>
          </cell>
          <cell r="AB170">
            <v>0</v>
          </cell>
          <cell r="AF170">
            <v>0</v>
          </cell>
        </row>
        <row r="171">
          <cell r="C171" t="str">
            <v>3452006</v>
          </cell>
          <cell r="G171">
            <v>9.9</v>
          </cell>
          <cell r="I171">
            <v>613800</v>
          </cell>
          <cell r="Z171">
            <v>0</v>
          </cell>
          <cell r="AB171">
            <v>0</v>
          </cell>
          <cell r="AF171">
            <v>0</v>
          </cell>
        </row>
        <row r="172">
          <cell r="C172" t="str">
            <v>3452007</v>
          </cell>
          <cell r="G172">
            <v>0</v>
          </cell>
          <cell r="I172">
            <v>0</v>
          </cell>
          <cell r="Z172">
            <v>0</v>
          </cell>
          <cell r="AB172">
            <v>0</v>
          </cell>
          <cell r="AF172">
            <v>0</v>
          </cell>
        </row>
        <row r="173">
          <cell r="C173" t="str">
            <v>3452008</v>
          </cell>
          <cell r="G173">
            <v>8.6999999999999993</v>
          </cell>
          <cell r="I173">
            <v>421085</v>
          </cell>
          <cell r="Z173">
            <v>0</v>
          </cell>
          <cell r="AB173">
            <v>0</v>
          </cell>
          <cell r="AF173">
            <v>0</v>
          </cell>
        </row>
        <row r="174">
          <cell r="C174" t="str">
            <v>3453001</v>
          </cell>
          <cell r="G174">
            <v>14.2</v>
          </cell>
          <cell r="I174">
            <v>639017</v>
          </cell>
          <cell r="Z174">
            <v>0</v>
          </cell>
          <cell r="AB174">
            <v>0</v>
          </cell>
          <cell r="AF174">
            <v>0</v>
          </cell>
        </row>
        <row r="175">
          <cell r="C175" t="str">
            <v>3453002</v>
          </cell>
          <cell r="G175">
            <v>0</v>
          </cell>
          <cell r="I175">
            <v>0</v>
          </cell>
          <cell r="Z175">
            <v>0</v>
          </cell>
          <cell r="AB175">
            <v>0</v>
          </cell>
          <cell r="AF175">
            <v>0</v>
          </cell>
        </row>
        <row r="176">
          <cell r="C176" t="str">
            <v>3453003</v>
          </cell>
          <cell r="G176">
            <v>27</v>
          </cell>
          <cell r="I176">
            <v>1255500</v>
          </cell>
          <cell r="Z176">
            <v>0</v>
          </cell>
          <cell r="AB176">
            <v>0</v>
          </cell>
          <cell r="AF176">
            <v>0</v>
          </cell>
        </row>
        <row r="177">
          <cell r="C177" t="str">
            <v>3453004</v>
          </cell>
          <cell r="G177">
            <v>17</v>
          </cell>
          <cell r="I177">
            <v>255000</v>
          </cell>
          <cell r="Z177">
            <v>0</v>
          </cell>
          <cell r="AB177">
            <v>0</v>
          </cell>
          <cell r="AF177">
            <v>0</v>
          </cell>
        </row>
        <row r="178">
          <cell r="C178" t="str">
            <v>3454001</v>
          </cell>
          <cell r="G178">
            <v>0</v>
          </cell>
          <cell r="I178">
            <v>0</v>
          </cell>
          <cell r="Z178">
            <v>0</v>
          </cell>
          <cell r="AB178">
            <v>0</v>
          </cell>
          <cell r="AF178">
            <v>0</v>
          </cell>
        </row>
        <row r="179">
          <cell r="C179" t="str">
            <v>3454002</v>
          </cell>
          <cell r="G179">
            <v>0</v>
          </cell>
          <cell r="I179">
            <v>0</v>
          </cell>
          <cell r="Z179">
            <v>0</v>
          </cell>
          <cell r="AB179">
            <v>0</v>
          </cell>
          <cell r="AF179">
            <v>0</v>
          </cell>
        </row>
        <row r="180">
          <cell r="C180" t="str">
            <v>3454003</v>
          </cell>
          <cell r="G180">
            <v>0</v>
          </cell>
          <cell r="I180">
            <v>0</v>
          </cell>
          <cell r="Z180">
            <v>0</v>
          </cell>
          <cell r="AB180">
            <v>0</v>
          </cell>
          <cell r="AF180">
            <v>0</v>
          </cell>
        </row>
        <row r="181">
          <cell r="C181" t="str">
            <v>3455001</v>
          </cell>
          <cell r="G181">
            <v>0</v>
          </cell>
          <cell r="I181">
            <v>0</v>
          </cell>
          <cell r="Z181">
            <v>0</v>
          </cell>
          <cell r="AB181">
            <v>0</v>
          </cell>
          <cell r="AF181">
            <v>0</v>
          </cell>
        </row>
        <row r="182">
          <cell r="C182" t="str">
            <v>3455002</v>
          </cell>
          <cell r="G182">
            <v>1582</v>
          </cell>
          <cell r="I182">
            <v>885920</v>
          </cell>
          <cell r="Z182">
            <v>0</v>
          </cell>
          <cell r="AB182">
            <v>0</v>
          </cell>
          <cell r="AF182">
            <v>0</v>
          </cell>
        </row>
        <row r="183">
          <cell r="C183" t="str">
            <v>3455003</v>
          </cell>
          <cell r="G183">
            <v>670</v>
          </cell>
          <cell r="I183">
            <v>804000</v>
          </cell>
          <cell r="Z183">
            <v>1355</v>
          </cell>
          <cell r="AB183">
            <v>1676749</v>
          </cell>
          <cell r="AF183">
            <v>2500000</v>
          </cell>
        </row>
        <row r="184">
          <cell r="C184" t="str">
            <v>3455021</v>
          </cell>
          <cell r="G184">
            <v>787</v>
          </cell>
          <cell r="I184">
            <v>3151538</v>
          </cell>
          <cell r="Z184">
            <v>0</v>
          </cell>
          <cell r="AB184">
            <v>0</v>
          </cell>
          <cell r="AF184">
            <v>0</v>
          </cell>
        </row>
        <row r="185">
          <cell r="C185" t="str">
            <v>3455031</v>
          </cell>
          <cell r="G185">
            <v>12636.7</v>
          </cell>
          <cell r="I185">
            <v>3385293</v>
          </cell>
          <cell r="Z185">
            <v>3875</v>
          </cell>
          <cell r="AB185">
            <v>1038088</v>
          </cell>
          <cell r="AF185">
            <v>0</v>
          </cell>
        </row>
        <row r="186">
          <cell r="C186" t="str">
            <v>3455033</v>
          </cell>
          <cell r="G186">
            <v>1113</v>
          </cell>
          <cell r="I186">
            <v>422940</v>
          </cell>
          <cell r="Z186">
            <v>0</v>
          </cell>
          <cell r="AB186">
            <v>0</v>
          </cell>
          <cell r="AF186">
            <v>0</v>
          </cell>
        </row>
        <row r="187">
          <cell r="C187" t="str">
            <v>3456000</v>
          </cell>
          <cell r="G187">
            <v>4436</v>
          </cell>
          <cell r="I187">
            <v>12174564</v>
          </cell>
          <cell r="Z187">
            <v>0</v>
          </cell>
          <cell r="AB187">
            <v>0</v>
          </cell>
          <cell r="AF187">
            <v>0</v>
          </cell>
        </row>
        <row r="188">
          <cell r="C188" t="str">
            <v>3456001</v>
          </cell>
          <cell r="G188">
            <v>11887.9</v>
          </cell>
          <cell r="I188">
            <v>28104529</v>
          </cell>
          <cell r="Z188">
            <v>6370</v>
          </cell>
          <cell r="AB188">
            <v>15059502</v>
          </cell>
          <cell r="AF188">
            <v>0</v>
          </cell>
        </row>
        <row r="189">
          <cell r="C189" t="str">
            <v>3456002</v>
          </cell>
          <cell r="G189">
            <v>4890.3</v>
          </cell>
          <cell r="I189">
            <v>15250012</v>
          </cell>
          <cell r="Z189">
            <v>4831</v>
          </cell>
          <cell r="AB189">
            <v>15652257</v>
          </cell>
          <cell r="AF189">
            <v>32670000</v>
          </cell>
        </row>
        <row r="190">
          <cell r="C190" t="str">
            <v>3456003</v>
          </cell>
          <cell r="G190">
            <v>29733</v>
          </cell>
          <cell r="I190">
            <v>106465721</v>
          </cell>
          <cell r="Z190">
            <v>12895</v>
          </cell>
          <cell r="AB190">
            <v>46173460</v>
          </cell>
          <cell r="AF190">
            <v>0</v>
          </cell>
        </row>
        <row r="191">
          <cell r="C191" t="str">
            <v>3456004</v>
          </cell>
          <cell r="G191">
            <v>7920.9</v>
          </cell>
          <cell r="I191">
            <v>30310978</v>
          </cell>
          <cell r="Z191">
            <v>1220</v>
          </cell>
          <cell r="AB191">
            <v>4668585</v>
          </cell>
          <cell r="AF191">
            <v>0</v>
          </cell>
        </row>
        <row r="192">
          <cell r="C192" t="str">
            <v>3456005</v>
          </cell>
          <cell r="G192">
            <v>0</v>
          </cell>
          <cell r="I192">
            <v>0</v>
          </cell>
          <cell r="Z192">
            <v>0</v>
          </cell>
          <cell r="AB192">
            <v>0</v>
          </cell>
          <cell r="AF192">
            <v>34631100</v>
          </cell>
        </row>
        <row r="193">
          <cell r="C193" t="str">
            <v>3456011</v>
          </cell>
          <cell r="G193">
            <v>0</v>
          </cell>
          <cell r="I193">
            <v>0</v>
          </cell>
          <cell r="Z193">
            <v>0</v>
          </cell>
          <cell r="AB193">
            <v>0</v>
          </cell>
          <cell r="AF193">
            <v>0</v>
          </cell>
        </row>
        <row r="194">
          <cell r="C194" t="str">
            <v>3456021</v>
          </cell>
          <cell r="G194">
            <v>0</v>
          </cell>
          <cell r="I194">
            <v>0</v>
          </cell>
          <cell r="Z194">
            <v>0</v>
          </cell>
          <cell r="AB194">
            <v>0</v>
          </cell>
          <cell r="AF194">
            <v>0</v>
          </cell>
        </row>
        <row r="195">
          <cell r="C195" t="str">
            <v>3456031</v>
          </cell>
          <cell r="G195">
            <v>799.6</v>
          </cell>
          <cell r="I195">
            <v>6057171</v>
          </cell>
          <cell r="Z195">
            <v>2314</v>
          </cell>
          <cell r="AB195">
            <v>19093710</v>
          </cell>
          <cell r="AF195">
            <v>79753957</v>
          </cell>
        </row>
        <row r="196">
          <cell r="C196" t="str">
            <v>3457001</v>
          </cell>
          <cell r="G196">
            <v>0</v>
          </cell>
          <cell r="I196">
            <v>0</v>
          </cell>
          <cell r="Z196">
            <v>0</v>
          </cell>
          <cell r="AB196">
            <v>0</v>
          </cell>
          <cell r="AF196">
            <v>0</v>
          </cell>
        </row>
        <row r="197">
          <cell r="C197" t="str">
            <v>3457002</v>
          </cell>
          <cell r="G197">
            <v>0</v>
          </cell>
          <cell r="I197">
            <v>0</v>
          </cell>
          <cell r="Z197">
            <v>0</v>
          </cell>
          <cell r="AB197">
            <v>0</v>
          </cell>
          <cell r="AF197">
            <v>0</v>
          </cell>
        </row>
        <row r="198">
          <cell r="C198" t="str">
            <v>3457011</v>
          </cell>
          <cell r="G198">
            <v>0</v>
          </cell>
          <cell r="I198">
            <v>0</v>
          </cell>
          <cell r="Z198">
            <v>0</v>
          </cell>
          <cell r="AB198">
            <v>0</v>
          </cell>
          <cell r="AF198">
            <v>0</v>
          </cell>
        </row>
        <row r="199">
          <cell r="C199" t="str">
            <v>3457012</v>
          </cell>
          <cell r="G199">
            <v>473</v>
          </cell>
          <cell r="I199">
            <v>9684000</v>
          </cell>
          <cell r="Z199">
            <v>1720</v>
          </cell>
          <cell r="AB199">
            <v>33281523</v>
          </cell>
          <cell r="AF199">
            <v>34297920</v>
          </cell>
        </row>
        <row r="200">
          <cell r="C200" t="str">
            <v>3457015</v>
          </cell>
          <cell r="G200">
            <v>0</v>
          </cell>
          <cell r="I200">
            <v>0</v>
          </cell>
          <cell r="Z200">
            <v>1538</v>
          </cell>
          <cell r="AB200">
            <v>23324847</v>
          </cell>
          <cell r="AF200">
            <v>98273736</v>
          </cell>
        </row>
        <row r="201">
          <cell r="C201" t="str">
            <v>3457017</v>
          </cell>
          <cell r="G201">
            <v>0</v>
          </cell>
          <cell r="I201">
            <v>0</v>
          </cell>
          <cell r="Z201">
            <v>0</v>
          </cell>
          <cell r="AB201">
            <v>0</v>
          </cell>
          <cell r="AF201">
            <v>0</v>
          </cell>
        </row>
        <row r="202">
          <cell r="C202" t="str">
            <v>3457031</v>
          </cell>
          <cell r="G202">
            <v>0</v>
          </cell>
          <cell r="I202">
            <v>0</v>
          </cell>
          <cell r="Z202">
            <v>0</v>
          </cell>
          <cell r="AB202">
            <v>0</v>
          </cell>
          <cell r="AF202">
            <v>0</v>
          </cell>
        </row>
        <row r="203">
          <cell r="C203" t="str">
            <v>3457041</v>
          </cell>
          <cell r="G203">
            <v>15034</v>
          </cell>
          <cell r="I203">
            <v>144706133</v>
          </cell>
          <cell r="Z203">
            <v>11381</v>
          </cell>
          <cell r="AB203">
            <v>109545064</v>
          </cell>
          <cell r="AF203">
            <v>0</v>
          </cell>
        </row>
        <row r="204">
          <cell r="C204" t="str">
            <v>3457042</v>
          </cell>
          <cell r="G204">
            <v>1200</v>
          </cell>
          <cell r="I204">
            <v>18058710</v>
          </cell>
          <cell r="Z204">
            <v>100</v>
          </cell>
          <cell r="AB204">
            <v>1504893</v>
          </cell>
          <cell r="AF204">
            <v>0</v>
          </cell>
        </row>
        <row r="205">
          <cell r="C205" t="str">
            <v>3457051</v>
          </cell>
          <cell r="G205">
            <v>1800</v>
          </cell>
          <cell r="I205">
            <v>1800</v>
          </cell>
          <cell r="Z205">
            <v>0</v>
          </cell>
          <cell r="AB205">
            <v>0</v>
          </cell>
          <cell r="AF205">
            <v>0</v>
          </cell>
        </row>
        <row r="206">
          <cell r="C206" t="str">
            <v>3457053</v>
          </cell>
          <cell r="G206">
            <v>5040</v>
          </cell>
          <cell r="I206">
            <v>59976000</v>
          </cell>
          <cell r="Z206">
            <v>0</v>
          </cell>
          <cell r="AB206">
            <v>0</v>
          </cell>
          <cell r="AF206">
            <v>0</v>
          </cell>
        </row>
        <row r="207">
          <cell r="C207" t="str">
            <v>3457061</v>
          </cell>
          <cell r="G207">
            <v>2682</v>
          </cell>
          <cell r="I207">
            <v>44808581</v>
          </cell>
          <cell r="Z207">
            <v>2682</v>
          </cell>
          <cell r="AB207">
            <v>44808581</v>
          </cell>
          <cell r="AF207">
            <v>0</v>
          </cell>
        </row>
        <row r="208">
          <cell r="C208" t="str">
            <v>3457091</v>
          </cell>
          <cell r="G208">
            <v>0</v>
          </cell>
          <cell r="I208">
            <v>0</v>
          </cell>
          <cell r="Z208">
            <v>0</v>
          </cell>
          <cell r="AB208">
            <v>0</v>
          </cell>
          <cell r="AF208">
            <v>0</v>
          </cell>
        </row>
        <row r="209">
          <cell r="C209" t="str">
            <v>3458001</v>
          </cell>
          <cell r="G209">
            <v>4501.74</v>
          </cell>
          <cell r="I209">
            <v>48154792</v>
          </cell>
          <cell r="Z209">
            <v>2636</v>
          </cell>
          <cell r="AB209">
            <v>27824540</v>
          </cell>
          <cell r="AF209">
            <v>52141698</v>
          </cell>
        </row>
        <row r="210">
          <cell r="C210" t="str">
            <v>3458002</v>
          </cell>
          <cell r="G210">
            <v>39.200000000000003</v>
          </cell>
          <cell r="I210">
            <v>528694</v>
          </cell>
          <cell r="Z210">
            <v>0</v>
          </cell>
          <cell r="AB210">
            <v>0</v>
          </cell>
          <cell r="AF210">
            <v>0</v>
          </cell>
        </row>
        <row r="211">
          <cell r="C211" t="str">
            <v>3458003</v>
          </cell>
          <cell r="G211">
            <v>0</v>
          </cell>
          <cell r="I211">
            <v>0</v>
          </cell>
          <cell r="Z211">
            <v>0</v>
          </cell>
          <cell r="AB211">
            <v>0</v>
          </cell>
          <cell r="AF211">
            <v>0</v>
          </cell>
        </row>
        <row r="212">
          <cell r="C212" t="str">
            <v>3458004</v>
          </cell>
          <cell r="G212">
            <v>0</v>
          </cell>
          <cell r="I212">
            <v>0</v>
          </cell>
          <cell r="Z212">
            <v>0</v>
          </cell>
          <cell r="AB212">
            <v>0</v>
          </cell>
          <cell r="AF212">
            <v>0</v>
          </cell>
        </row>
        <row r="213">
          <cell r="C213" t="str">
            <v>3458005</v>
          </cell>
          <cell r="G213">
            <v>0</v>
          </cell>
          <cell r="I213">
            <v>0</v>
          </cell>
          <cell r="Z213">
            <v>0</v>
          </cell>
          <cell r="AB213">
            <v>0</v>
          </cell>
          <cell r="AF213">
            <v>0</v>
          </cell>
        </row>
        <row r="214">
          <cell r="C214" t="str">
            <v>3458006</v>
          </cell>
          <cell r="G214">
            <v>0</v>
          </cell>
          <cell r="I214">
            <v>0</v>
          </cell>
          <cell r="Z214">
            <v>0</v>
          </cell>
          <cell r="AB214">
            <v>0</v>
          </cell>
          <cell r="AF214">
            <v>0</v>
          </cell>
        </row>
        <row r="215">
          <cell r="C215" t="str">
            <v>3458007</v>
          </cell>
          <cell r="G215">
            <v>0</v>
          </cell>
          <cell r="I215">
            <v>0</v>
          </cell>
          <cell r="Z215">
            <v>0</v>
          </cell>
          <cell r="AB215">
            <v>0</v>
          </cell>
          <cell r="AF215">
            <v>0</v>
          </cell>
        </row>
        <row r="216">
          <cell r="C216" t="str">
            <v>3458008</v>
          </cell>
          <cell r="G216">
            <v>9561</v>
          </cell>
          <cell r="I216">
            <v>142879349</v>
          </cell>
          <cell r="Z216">
            <v>1082</v>
          </cell>
          <cell r="AB216">
            <v>16169381</v>
          </cell>
          <cell r="AF216">
            <v>0</v>
          </cell>
        </row>
        <row r="217">
          <cell r="C217" t="str">
            <v>3458010</v>
          </cell>
          <cell r="G217">
            <v>0</v>
          </cell>
          <cell r="I217">
            <v>0</v>
          </cell>
          <cell r="Z217">
            <v>0</v>
          </cell>
          <cell r="AB217">
            <v>0</v>
          </cell>
          <cell r="AF217">
            <v>0</v>
          </cell>
        </row>
        <row r="218">
          <cell r="C218" t="str">
            <v>3458011</v>
          </cell>
          <cell r="G218">
            <v>475</v>
          </cell>
          <cell r="I218">
            <v>6709369</v>
          </cell>
          <cell r="Z218">
            <v>0</v>
          </cell>
          <cell r="AB218">
            <v>0</v>
          </cell>
          <cell r="AF218">
            <v>0</v>
          </cell>
        </row>
        <row r="219">
          <cell r="C219" t="str">
            <v>3458031</v>
          </cell>
          <cell r="G219">
            <v>1241.51</v>
          </cell>
          <cell r="I219">
            <v>17517117</v>
          </cell>
          <cell r="Z219">
            <v>0</v>
          </cell>
          <cell r="AB219">
            <v>0</v>
          </cell>
          <cell r="AF219">
            <v>0</v>
          </cell>
        </row>
        <row r="220">
          <cell r="C220" t="str">
            <v>3458041</v>
          </cell>
          <cell r="G220">
            <v>0</v>
          </cell>
          <cell r="I220">
            <v>0</v>
          </cell>
          <cell r="Z220">
            <v>0</v>
          </cell>
          <cell r="AB220">
            <v>0</v>
          </cell>
          <cell r="AF220">
            <v>0</v>
          </cell>
        </row>
        <row r="221">
          <cell r="C221" t="str">
            <v>3458051</v>
          </cell>
          <cell r="G221">
            <v>2.5</v>
          </cell>
          <cell r="I221">
            <v>250000</v>
          </cell>
          <cell r="Z221">
            <v>0</v>
          </cell>
          <cell r="AB221">
            <v>0</v>
          </cell>
          <cell r="AF221">
            <v>0</v>
          </cell>
        </row>
        <row r="222">
          <cell r="C222" t="str">
            <v>3459001</v>
          </cell>
          <cell r="G222">
            <v>0</v>
          </cell>
          <cell r="I222">
            <v>0</v>
          </cell>
          <cell r="Z222">
            <v>0</v>
          </cell>
          <cell r="AB222">
            <v>0</v>
          </cell>
          <cell r="AF222">
            <v>0</v>
          </cell>
        </row>
        <row r="223">
          <cell r="C223" t="str">
            <v>3459002</v>
          </cell>
          <cell r="G223">
            <v>0</v>
          </cell>
          <cell r="I223">
            <v>0</v>
          </cell>
          <cell r="Z223">
            <v>17521</v>
          </cell>
          <cell r="AB223">
            <v>26281500</v>
          </cell>
          <cell r="AF223">
            <v>45000000</v>
          </cell>
        </row>
        <row r="224">
          <cell r="C224" t="str">
            <v>3459011</v>
          </cell>
          <cell r="G224">
            <v>684</v>
          </cell>
          <cell r="I224">
            <v>1104188</v>
          </cell>
          <cell r="Z224">
            <v>0</v>
          </cell>
          <cell r="AB224">
            <v>0</v>
          </cell>
          <cell r="AF224">
            <v>0</v>
          </cell>
        </row>
        <row r="225">
          <cell r="C225" t="str">
            <v>3459012</v>
          </cell>
          <cell r="G225">
            <v>0</v>
          </cell>
          <cell r="I225">
            <v>0</v>
          </cell>
          <cell r="Z225">
            <v>0</v>
          </cell>
          <cell r="AB225">
            <v>0</v>
          </cell>
          <cell r="AF225">
            <v>0</v>
          </cell>
        </row>
        <row r="226">
          <cell r="C226" t="str">
            <v>3459021</v>
          </cell>
          <cell r="G226">
            <v>0</v>
          </cell>
          <cell r="I226">
            <v>0</v>
          </cell>
          <cell r="Z226">
            <v>0</v>
          </cell>
          <cell r="AB226">
            <v>0</v>
          </cell>
          <cell r="AF226">
            <v>0</v>
          </cell>
        </row>
        <row r="227">
          <cell r="C227" t="str">
            <v>3459022</v>
          </cell>
          <cell r="G227">
            <v>0</v>
          </cell>
          <cell r="I227">
            <v>0</v>
          </cell>
          <cell r="Z227">
            <v>0</v>
          </cell>
          <cell r="AB227">
            <v>0</v>
          </cell>
          <cell r="AF227">
            <v>0</v>
          </cell>
        </row>
        <row r="228">
          <cell r="C228" t="str">
            <v>3459028</v>
          </cell>
          <cell r="G228">
            <v>18910</v>
          </cell>
          <cell r="I228">
            <v>31906490</v>
          </cell>
          <cell r="Z228">
            <v>16297</v>
          </cell>
          <cell r="AB228">
            <v>27497624</v>
          </cell>
          <cell r="AF228">
            <v>0</v>
          </cell>
        </row>
        <row r="229">
          <cell r="C229" t="str">
            <v>3459029</v>
          </cell>
          <cell r="G229">
            <v>0</v>
          </cell>
          <cell r="I229">
            <v>0</v>
          </cell>
          <cell r="Z229">
            <v>0</v>
          </cell>
          <cell r="AB229">
            <v>0</v>
          </cell>
          <cell r="AF229">
            <v>0</v>
          </cell>
        </row>
        <row r="230">
          <cell r="C230" t="str">
            <v>3459030</v>
          </cell>
          <cell r="G230">
            <v>0</v>
          </cell>
          <cell r="I230">
            <v>0</v>
          </cell>
          <cell r="Z230">
            <v>0</v>
          </cell>
          <cell r="AB230">
            <v>0</v>
          </cell>
          <cell r="AF230">
            <v>0</v>
          </cell>
        </row>
        <row r="231">
          <cell r="C231" t="str">
            <v>3459031</v>
          </cell>
          <cell r="G231">
            <v>0</v>
          </cell>
          <cell r="I231">
            <v>0</v>
          </cell>
          <cell r="Z231">
            <v>0</v>
          </cell>
          <cell r="AB231">
            <v>0</v>
          </cell>
          <cell r="AF231">
            <v>0</v>
          </cell>
        </row>
        <row r="232">
          <cell r="C232" t="str">
            <v>3459032</v>
          </cell>
          <cell r="G232">
            <v>0</v>
          </cell>
          <cell r="I232">
            <v>0</v>
          </cell>
          <cell r="Z232">
            <v>0</v>
          </cell>
          <cell r="AB232">
            <v>0</v>
          </cell>
          <cell r="AF232">
            <v>0</v>
          </cell>
        </row>
        <row r="233">
          <cell r="C233" t="str">
            <v>3459092</v>
          </cell>
          <cell r="G233">
            <v>0</v>
          </cell>
          <cell r="I233">
            <v>0</v>
          </cell>
          <cell r="Z233">
            <v>0</v>
          </cell>
          <cell r="AB233">
            <v>0</v>
          </cell>
          <cell r="AF233">
            <v>0</v>
          </cell>
        </row>
        <row r="234">
          <cell r="C234" t="str">
            <v>3460001</v>
          </cell>
          <cell r="G234">
            <v>642.6</v>
          </cell>
          <cell r="I234">
            <v>10275418</v>
          </cell>
          <cell r="Z234">
            <v>482</v>
          </cell>
          <cell r="AB234">
            <v>7707363</v>
          </cell>
          <cell r="AF234">
            <v>0</v>
          </cell>
        </row>
        <row r="235">
          <cell r="C235" t="str">
            <v>3460002</v>
          </cell>
          <cell r="G235">
            <v>400</v>
          </cell>
          <cell r="I235">
            <v>6078906</v>
          </cell>
          <cell r="Z235">
            <v>14</v>
          </cell>
          <cell r="AB235">
            <v>212762</v>
          </cell>
          <cell r="AF235">
            <v>0</v>
          </cell>
        </row>
        <row r="236">
          <cell r="C236" t="str">
            <v>3460003</v>
          </cell>
          <cell r="G236">
            <v>0</v>
          </cell>
          <cell r="I236">
            <v>0</v>
          </cell>
          <cell r="Z236">
            <v>0</v>
          </cell>
          <cell r="AB236">
            <v>0</v>
          </cell>
          <cell r="AF236">
            <v>0</v>
          </cell>
        </row>
        <row r="237">
          <cell r="C237" t="str">
            <v>3461001</v>
          </cell>
          <cell r="G237">
            <v>136</v>
          </cell>
          <cell r="I237">
            <v>843097</v>
          </cell>
          <cell r="Z237">
            <v>0</v>
          </cell>
          <cell r="AB237">
            <v>0</v>
          </cell>
          <cell r="AF237">
            <v>0</v>
          </cell>
        </row>
        <row r="238">
          <cell r="C238" t="str">
            <v>3462001</v>
          </cell>
          <cell r="G238">
            <v>1055</v>
          </cell>
          <cell r="I238">
            <v>896750</v>
          </cell>
          <cell r="Z238">
            <v>2408</v>
          </cell>
          <cell r="AB238">
            <v>2100245</v>
          </cell>
          <cell r="AF238">
            <v>2640000</v>
          </cell>
        </row>
        <row r="239">
          <cell r="C239" t="str">
            <v>3463001</v>
          </cell>
          <cell r="G239">
            <v>0</v>
          </cell>
          <cell r="I239">
            <v>0</v>
          </cell>
          <cell r="Z239">
            <v>0</v>
          </cell>
          <cell r="AB239">
            <v>0</v>
          </cell>
          <cell r="AF239">
            <v>0</v>
          </cell>
        </row>
        <row r="240">
          <cell r="C240" t="str">
            <v>3464001</v>
          </cell>
          <cell r="G240">
            <v>0</v>
          </cell>
          <cell r="I240">
            <v>0</v>
          </cell>
          <cell r="Z240">
            <v>0</v>
          </cell>
          <cell r="AB240">
            <v>0</v>
          </cell>
          <cell r="AF240">
            <v>0</v>
          </cell>
        </row>
        <row r="241">
          <cell r="C241" t="str">
            <v>3464100</v>
          </cell>
          <cell r="G241">
            <v>0</v>
          </cell>
          <cell r="I241">
            <v>0</v>
          </cell>
          <cell r="Z241">
            <v>0</v>
          </cell>
          <cell r="AB241">
            <v>0</v>
          </cell>
          <cell r="AF241">
            <v>0</v>
          </cell>
        </row>
        <row r="242">
          <cell r="C242" t="str">
            <v>3465001</v>
          </cell>
          <cell r="G242">
            <v>0</v>
          </cell>
          <cell r="I242">
            <v>0</v>
          </cell>
          <cell r="Z242">
            <v>0</v>
          </cell>
          <cell r="AB242">
            <v>0</v>
          </cell>
          <cell r="AF242">
            <v>0</v>
          </cell>
        </row>
        <row r="243">
          <cell r="C243" t="str">
            <v>3465011</v>
          </cell>
          <cell r="G243">
            <v>0</v>
          </cell>
          <cell r="I243">
            <v>0</v>
          </cell>
          <cell r="Z243">
            <v>0</v>
          </cell>
          <cell r="AB243">
            <v>0</v>
          </cell>
          <cell r="AF243">
            <v>0</v>
          </cell>
        </row>
        <row r="244">
          <cell r="C244" t="str">
            <v>3479001</v>
          </cell>
          <cell r="G244">
            <v>0</v>
          </cell>
          <cell r="I244">
            <v>0</v>
          </cell>
          <cell r="Z244">
            <v>0</v>
          </cell>
          <cell r="AB244">
            <v>0</v>
          </cell>
          <cell r="AF244">
            <v>0</v>
          </cell>
        </row>
        <row r="245">
          <cell r="C245" t="str">
            <v>3479005</v>
          </cell>
          <cell r="G245">
            <v>438</v>
          </cell>
          <cell r="I245">
            <v>3679200</v>
          </cell>
          <cell r="Z245">
            <v>87</v>
          </cell>
          <cell r="AB245">
            <v>730800</v>
          </cell>
          <cell r="AF245">
            <v>0</v>
          </cell>
        </row>
        <row r="246">
          <cell r="C246" t="str">
            <v>3479007</v>
          </cell>
          <cell r="G246">
            <v>462</v>
          </cell>
          <cell r="I246">
            <v>3809286</v>
          </cell>
          <cell r="Z246">
            <v>52</v>
          </cell>
          <cell r="AB246">
            <v>428751</v>
          </cell>
          <cell r="AF246">
            <v>0</v>
          </cell>
        </row>
        <row r="247">
          <cell r="C247" t="str">
            <v>3479011</v>
          </cell>
          <cell r="G247">
            <v>0</v>
          </cell>
          <cell r="I247">
            <v>0</v>
          </cell>
          <cell r="Z247">
            <v>0</v>
          </cell>
          <cell r="AB247">
            <v>0</v>
          </cell>
          <cell r="AF247">
            <v>0</v>
          </cell>
        </row>
        <row r="248">
          <cell r="C248" t="str">
            <v>3479021</v>
          </cell>
          <cell r="G248">
            <v>0</v>
          </cell>
          <cell r="I248">
            <v>0</v>
          </cell>
          <cell r="Z248">
            <v>120</v>
          </cell>
          <cell r="AB248">
            <v>600000</v>
          </cell>
          <cell r="AF248">
            <v>1000000</v>
          </cell>
        </row>
        <row r="249">
          <cell r="C249" t="str">
            <v>3479022</v>
          </cell>
          <cell r="G249">
            <v>0</v>
          </cell>
          <cell r="I249">
            <v>0</v>
          </cell>
          <cell r="Z249">
            <v>0</v>
          </cell>
          <cell r="AB249">
            <v>0</v>
          </cell>
          <cell r="AF249">
            <v>0</v>
          </cell>
        </row>
        <row r="250">
          <cell r="C250" t="str">
            <v>3479023</v>
          </cell>
          <cell r="G250">
            <v>140</v>
          </cell>
          <cell r="I250">
            <v>2059164</v>
          </cell>
          <cell r="Z250">
            <v>0</v>
          </cell>
          <cell r="AB250">
            <v>0</v>
          </cell>
          <cell r="AF250">
            <v>0</v>
          </cell>
        </row>
        <row r="251">
          <cell r="C251" t="str">
            <v>3479024</v>
          </cell>
          <cell r="G251">
            <v>0</v>
          </cell>
          <cell r="I251">
            <v>0</v>
          </cell>
          <cell r="Z251">
            <v>0</v>
          </cell>
          <cell r="AB251">
            <v>0</v>
          </cell>
          <cell r="AF251">
            <v>0</v>
          </cell>
        </row>
        <row r="252">
          <cell r="C252" t="str">
            <v>3479041</v>
          </cell>
          <cell r="G252">
            <v>3</v>
          </cell>
          <cell r="I252">
            <v>12000</v>
          </cell>
          <cell r="Z252">
            <v>0</v>
          </cell>
          <cell r="AB252">
            <v>0</v>
          </cell>
          <cell r="AF252">
            <v>0</v>
          </cell>
        </row>
        <row r="253">
          <cell r="C253" t="str">
            <v>3479043</v>
          </cell>
          <cell r="G253">
            <v>0</v>
          </cell>
          <cell r="I253">
            <v>0</v>
          </cell>
          <cell r="Z253">
            <v>0</v>
          </cell>
          <cell r="AB253">
            <v>0</v>
          </cell>
          <cell r="AF253">
            <v>0</v>
          </cell>
        </row>
        <row r="254">
          <cell r="C254" t="str">
            <v>3479045</v>
          </cell>
          <cell r="G254">
            <v>1196.3499999999999</v>
          </cell>
          <cell r="I254">
            <v>4627854</v>
          </cell>
          <cell r="Z254">
            <v>52</v>
          </cell>
          <cell r="AB254">
            <v>201152</v>
          </cell>
          <cell r="AF254">
            <v>0</v>
          </cell>
        </row>
        <row r="255">
          <cell r="C255" t="str">
            <v>3479046</v>
          </cell>
          <cell r="G255">
            <v>1170</v>
          </cell>
          <cell r="I255">
            <v>5752468</v>
          </cell>
          <cell r="Z255">
            <v>0</v>
          </cell>
          <cell r="AB255">
            <v>0</v>
          </cell>
          <cell r="AF255">
            <v>0</v>
          </cell>
        </row>
        <row r="256">
          <cell r="C256" t="str">
            <v>3479047</v>
          </cell>
          <cell r="G256">
            <v>2</v>
          </cell>
          <cell r="I256">
            <v>6800</v>
          </cell>
          <cell r="Z256">
            <v>0</v>
          </cell>
          <cell r="AB256">
            <v>0</v>
          </cell>
          <cell r="AF256">
            <v>0</v>
          </cell>
        </row>
        <row r="257">
          <cell r="C257" t="str">
            <v>3479050</v>
          </cell>
          <cell r="G257">
            <v>0</v>
          </cell>
          <cell r="I257">
            <v>0</v>
          </cell>
          <cell r="Z257">
            <v>0</v>
          </cell>
          <cell r="AB257">
            <v>0</v>
          </cell>
          <cell r="AF257">
            <v>0</v>
          </cell>
        </row>
        <row r="258">
          <cell r="C258" t="str">
            <v>3479060</v>
          </cell>
          <cell r="G258">
            <v>0</v>
          </cell>
          <cell r="I258">
            <v>0</v>
          </cell>
          <cell r="Z258">
            <v>0</v>
          </cell>
          <cell r="AB258">
            <v>0</v>
          </cell>
          <cell r="AF258">
            <v>0</v>
          </cell>
        </row>
        <row r="259">
          <cell r="C259" t="str">
            <v>3479068</v>
          </cell>
          <cell r="G259">
            <v>0</v>
          </cell>
          <cell r="I259">
            <v>0</v>
          </cell>
          <cell r="Z259">
            <v>0</v>
          </cell>
          <cell r="AB259">
            <v>0</v>
          </cell>
          <cell r="AF259">
            <v>0</v>
          </cell>
        </row>
        <row r="260">
          <cell r="C260" t="str">
            <v>3479069</v>
          </cell>
          <cell r="G260">
            <v>0</v>
          </cell>
          <cell r="I260">
            <v>0</v>
          </cell>
          <cell r="Z260">
            <v>0</v>
          </cell>
          <cell r="AB260">
            <v>0</v>
          </cell>
          <cell r="AF260">
            <v>0</v>
          </cell>
        </row>
        <row r="261">
          <cell r="C261" t="str">
            <v>3479070</v>
          </cell>
          <cell r="G261">
            <v>0</v>
          </cell>
          <cell r="I261">
            <v>0</v>
          </cell>
          <cell r="Z261">
            <v>0</v>
          </cell>
          <cell r="AB261">
            <v>0</v>
          </cell>
          <cell r="AF261">
            <v>0</v>
          </cell>
        </row>
        <row r="262">
          <cell r="C262" t="str">
            <v>3479071</v>
          </cell>
          <cell r="G262">
            <v>0</v>
          </cell>
          <cell r="I262">
            <v>0</v>
          </cell>
          <cell r="Z262">
            <v>0</v>
          </cell>
          <cell r="AB262">
            <v>0</v>
          </cell>
          <cell r="AF262">
            <v>0</v>
          </cell>
        </row>
        <row r="263">
          <cell r="C263" t="str">
            <v>3479101</v>
          </cell>
          <cell r="G263">
            <v>0</v>
          </cell>
          <cell r="I263">
            <v>0</v>
          </cell>
          <cell r="Z263">
            <v>0</v>
          </cell>
          <cell r="AB263">
            <v>0</v>
          </cell>
          <cell r="AF263">
            <v>0</v>
          </cell>
        </row>
        <row r="264">
          <cell r="C264" t="str">
            <v>3479102</v>
          </cell>
          <cell r="G264">
            <v>0</v>
          </cell>
          <cell r="I264">
            <v>0</v>
          </cell>
          <cell r="Z264">
            <v>0</v>
          </cell>
          <cell r="AB264">
            <v>0</v>
          </cell>
          <cell r="AF264">
            <v>0</v>
          </cell>
        </row>
        <row r="265">
          <cell r="C265" t="str">
            <v>3479109</v>
          </cell>
          <cell r="G265">
            <v>0</v>
          </cell>
          <cell r="I265">
            <v>0</v>
          </cell>
          <cell r="Z265">
            <v>0</v>
          </cell>
          <cell r="AB265">
            <v>0</v>
          </cell>
          <cell r="AF265">
            <v>0</v>
          </cell>
        </row>
        <row r="266">
          <cell r="C266" t="str">
            <v>3479201</v>
          </cell>
          <cell r="G266">
            <v>0</v>
          </cell>
          <cell r="I266">
            <v>0</v>
          </cell>
          <cell r="Z266">
            <v>0</v>
          </cell>
          <cell r="AB266">
            <v>0</v>
          </cell>
          <cell r="AF266">
            <v>0</v>
          </cell>
        </row>
        <row r="267">
          <cell r="C267" t="str">
            <v>3479203</v>
          </cell>
          <cell r="G267">
            <v>0</v>
          </cell>
          <cell r="I267">
            <v>0</v>
          </cell>
          <cell r="Z267">
            <v>0</v>
          </cell>
          <cell r="AB267">
            <v>0</v>
          </cell>
          <cell r="AF267">
            <v>0</v>
          </cell>
        </row>
        <row r="268">
          <cell r="C268" t="str">
            <v>3479205</v>
          </cell>
          <cell r="G268">
            <v>0</v>
          </cell>
          <cell r="I268">
            <v>0</v>
          </cell>
          <cell r="Z268">
            <v>0</v>
          </cell>
          <cell r="AB268">
            <v>0</v>
          </cell>
          <cell r="AF268">
            <v>0</v>
          </cell>
        </row>
        <row r="269">
          <cell r="C269" t="str">
            <v>3479207</v>
          </cell>
          <cell r="G269">
            <v>20.2</v>
          </cell>
          <cell r="I269">
            <v>1073116</v>
          </cell>
          <cell r="Z269">
            <v>0</v>
          </cell>
          <cell r="AB269">
            <v>0</v>
          </cell>
          <cell r="AF269">
            <v>0</v>
          </cell>
        </row>
        <row r="270">
          <cell r="C270" t="str">
            <v>3499000</v>
          </cell>
          <cell r="G270">
            <v>117</v>
          </cell>
          <cell r="I270">
            <v>256183</v>
          </cell>
          <cell r="Z270">
            <v>0</v>
          </cell>
          <cell r="AB270">
            <v>0</v>
          </cell>
          <cell r="AF270">
            <v>0</v>
          </cell>
        </row>
        <row r="271">
          <cell r="C271" t="str">
            <v>3499006</v>
          </cell>
          <cell r="G271">
            <v>0</v>
          </cell>
          <cell r="I271">
            <v>0</v>
          </cell>
          <cell r="Z271">
            <v>0</v>
          </cell>
          <cell r="AB271">
            <v>0</v>
          </cell>
          <cell r="AF271">
            <v>0</v>
          </cell>
        </row>
        <row r="272">
          <cell r="C272" t="str">
            <v>3499007</v>
          </cell>
          <cell r="G272">
            <v>0</v>
          </cell>
          <cell r="I272">
            <v>0</v>
          </cell>
          <cell r="Z272">
            <v>0</v>
          </cell>
          <cell r="AB272">
            <v>0</v>
          </cell>
          <cell r="AF272">
            <v>0</v>
          </cell>
        </row>
        <row r="273">
          <cell r="C273" t="str">
            <v>3499008</v>
          </cell>
          <cell r="G273">
            <v>0</v>
          </cell>
          <cell r="I273">
            <v>0</v>
          </cell>
          <cell r="Z273">
            <v>0</v>
          </cell>
          <cell r="AB273">
            <v>0</v>
          </cell>
          <cell r="AF273">
            <v>0</v>
          </cell>
        </row>
        <row r="274">
          <cell r="C274" t="str">
            <v>3499030</v>
          </cell>
          <cell r="G274">
            <v>0</v>
          </cell>
          <cell r="I274">
            <v>0</v>
          </cell>
          <cell r="Z274">
            <v>0</v>
          </cell>
          <cell r="AB274">
            <v>0</v>
          </cell>
          <cell r="AF274">
            <v>0</v>
          </cell>
        </row>
        <row r="275">
          <cell r="C275" t="str">
            <v>3499032</v>
          </cell>
          <cell r="G275">
            <v>1024</v>
          </cell>
          <cell r="I275">
            <v>3528844</v>
          </cell>
          <cell r="Z275">
            <v>0</v>
          </cell>
          <cell r="AB275">
            <v>0</v>
          </cell>
          <cell r="AF275">
            <v>0</v>
          </cell>
        </row>
        <row r="276">
          <cell r="C276" t="str">
            <v>3499033</v>
          </cell>
          <cell r="G276">
            <v>2739</v>
          </cell>
          <cell r="I276">
            <v>10778140</v>
          </cell>
          <cell r="Z276">
            <v>499</v>
          </cell>
          <cell r="AB276">
            <v>1963597</v>
          </cell>
          <cell r="AF276">
            <v>0</v>
          </cell>
        </row>
        <row r="277">
          <cell r="C277" t="str">
            <v>3499034</v>
          </cell>
          <cell r="G277">
            <v>0</v>
          </cell>
          <cell r="I277">
            <v>0</v>
          </cell>
          <cell r="Z277">
            <v>0</v>
          </cell>
          <cell r="AB277">
            <v>0</v>
          </cell>
          <cell r="AF277">
            <v>2761459</v>
          </cell>
        </row>
        <row r="278">
          <cell r="C278" t="str">
            <v>9999901</v>
          </cell>
          <cell r="G278">
            <v>0</v>
          </cell>
          <cell r="I278">
            <v>0</v>
          </cell>
          <cell r="Z278">
            <v>0</v>
          </cell>
          <cell r="AB278">
            <v>0</v>
          </cell>
          <cell r="AF278">
            <v>0</v>
          </cell>
        </row>
        <row r="279">
          <cell r="C279" t="str">
            <v>9999999</v>
          </cell>
          <cell r="G279">
            <v>0</v>
          </cell>
          <cell r="I279">
            <v>0</v>
          </cell>
          <cell r="Z279">
            <v>0</v>
          </cell>
          <cell r="AB279">
            <v>0</v>
          </cell>
          <cell r="AF279">
            <v>0</v>
          </cell>
        </row>
        <row r="280">
          <cell r="C280" t="str">
            <v>1410001</v>
          </cell>
          <cell r="G280">
            <v>0</v>
          </cell>
          <cell r="I280">
            <v>0</v>
          </cell>
          <cell r="Z280">
            <v>0</v>
          </cell>
          <cell r="AB280">
            <v>0</v>
          </cell>
          <cell r="AF280">
            <v>0</v>
          </cell>
        </row>
        <row r="281">
          <cell r="C281" t="str">
            <v>1412011</v>
          </cell>
          <cell r="G281">
            <v>16019</v>
          </cell>
          <cell r="I281">
            <v>39989165</v>
          </cell>
          <cell r="Z281">
            <v>8000</v>
          </cell>
          <cell r="AB281">
            <v>19970867</v>
          </cell>
          <cell r="AF281">
            <v>0</v>
          </cell>
        </row>
        <row r="282">
          <cell r="C282" t="str">
            <v>1412012</v>
          </cell>
          <cell r="G282">
            <v>0</v>
          </cell>
          <cell r="I282">
            <v>0</v>
          </cell>
          <cell r="Z282">
            <v>0</v>
          </cell>
          <cell r="AB282">
            <v>0</v>
          </cell>
          <cell r="AF282">
            <v>0</v>
          </cell>
        </row>
        <row r="283">
          <cell r="C283" t="str">
            <v>1412021</v>
          </cell>
          <cell r="G283">
            <v>0</v>
          </cell>
          <cell r="I283">
            <v>0</v>
          </cell>
          <cell r="Z283">
            <v>0</v>
          </cell>
          <cell r="AB283">
            <v>0</v>
          </cell>
          <cell r="AF283">
            <v>0</v>
          </cell>
        </row>
        <row r="284">
          <cell r="C284" t="str">
            <v>1413001</v>
          </cell>
          <cell r="G284">
            <v>997</v>
          </cell>
          <cell r="I284">
            <v>2492500</v>
          </cell>
          <cell r="Z284">
            <v>0</v>
          </cell>
          <cell r="AB284">
            <v>0</v>
          </cell>
          <cell r="AF284">
            <v>0</v>
          </cell>
        </row>
        <row r="285">
          <cell r="C285" t="str">
            <v>1103001</v>
          </cell>
          <cell r="G285">
            <v>3299</v>
          </cell>
          <cell r="I285">
            <v>10921710</v>
          </cell>
          <cell r="Z285">
            <v>2000</v>
          </cell>
          <cell r="AB285">
            <v>6621225</v>
          </cell>
          <cell r="AF285">
            <v>0</v>
          </cell>
        </row>
        <row r="286">
          <cell r="C286" t="str">
            <v>1103002</v>
          </cell>
          <cell r="G286">
            <v>19860</v>
          </cell>
          <cell r="I286">
            <v>56048556</v>
          </cell>
          <cell r="Z286">
            <v>10000</v>
          </cell>
          <cell r="AB286">
            <v>28221831</v>
          </cell>
          <cell r="AF286">
            <v>0</v>
          </cell>
        </row>
        <row r="287">
          <cell r="C287" t="str">
            <v>1103011</v>
          </cell>
          <cell r="G287">
            <v>0</v>
          </cell>
          <cell r="I287">
            <v>0</v>
          </cell>
          <cell r="Z287">
            <v>0</v>
          </cell>
          <cell r="AB287">
            <v>0</v>
          </cell>
          <cell r="AF287">
            <v>0</v>
          </cell>
        </row>
        <row r="288">
          <cell r="C288" t="str">
            <v>1103012</v>
          </cell>
          <cell r="G288">
            <v>107</v>
          </cell>
          <cell r="I288">
            <v>332302</v>
          </cell>
          <cell r="Z288">
            <v>0</v>
          </cell>
          <cell r="AB288">
            <v>0</v>
          </cell>
          <cell r="AF288">
            <v>0</v>
          </cell>
        </row>
        <row r="289">
          <cell r="C289" t="str">
            <v>1103013</v>
          </cell>
          <cell r="G289">
            <v>19852</v>
          </cell>
          <cell r="I289">
            <v>101713269</v>
          </cell>
          <cell r="Z289">
            <v>16000</v>
          </cell>
          <cell r="AB289">
            <v>81477649</v>
          </cell>
          <cell r="AF289">
            <v>119758257</v>
          </cell>
        </row>
        <row r="290">
          <cell r="C290" t="str">
            <v>1103014</v>
          </cell>
          <cell r="G290">
            <v>4698</v>
          </cell>
          <cell r="I290">
            <v>14102765</v>
          </cell>
          <cell r="Z290">
            <v>0</v>
          </cell>
          <cell r="AB290">
            <v>0</v>
          </cell>
          <cell r="AF290">
            <v>0</v>
          </cell>
        </row>
        <row r="291">
          <cell r="C291" t="str">
            <v>1103015</v>
          </cell>
          <cell r="G291">
            <v>0</v>
          </cell>
          <cell r="I291">
            <v>0</v>
          </cell>
          <cell r="Z291">
            <v>0</v>
          </cell>
          <cell r="AB291">
            <v>0</v>
          </cell>
          <cell r="AF291">
            <v>0</v>
          </cell>
        </row>
        <row r="292">
          <cell r="C292" t="str">
            <v>1103016</v>
          </cell>
          <cell r="G292">
            <v>12325</v>
          </cell>
          <cell r="I292">
            <v>44719572</v>
          </cell>
          <cell r="Z292">
            <v>12000</v>
          </cell>
          <cell r="AB292">
            <v>43540354</v>
          </cell>
          <cell r="AF292">
            <v>0</v>
          </cell>
        </row>
        <row r="293">
          <cell r="C293" t="str">
            <v>1103017</v>
          </cell>
          <cell r="G293">
            <v>120</v>
          </cell>
          <cell r="I293">
            <v>373654</v>
          </cell>
          <cell r="Z293">
            <v>0</v>
          </cell>
          <cell r="AB293">
            <v>0</v>
          </cell>
          <cell r="AF293">
            <v>0</v>
          </cell>
        </row>
        <row r="294">
          <cell r="C294" t="str">
            <v>1103021</v>
          </cell>
          <cell r="G294">
            <v>1287</v>
          </cell>
          <cell r="I294">
            <v>3265947</v>
          </cell>
          <cell r="Z294">
            <v>0</v>
          </cell>
          <cell r="AB294">
            <v>0</v>
          </cell>
          <cell r="AF294">
            <v>0</v>
          </cell>
        </row>
        <row r="295">
          <cell r="C295" t="str">
            <v>1103032</v>
          </cell>
          <cell r="G295">
            <v>423</v>
          </cell>
          <cell r="I295">
            <v>2028747</v>
          </cell>
          <cell r="Z295">
            <v>0</v>
          </cell>
          <cell r="AB295">
            <v>0</v>
          </cell>
          <cell r="AF295">
            <v>0</v>
          </cell>
        </row>
        <row r="296">
          <cell r="C296" t="str">
            <v>1103033</v>
          </cell>
          <cell r="G296">
            <v>737</v>
          </cell>
          <cell r="I296">
            <v>3364207</v>
          </cell>
          <cell r="Z296">
            <v>0</v>
          </cell>
          <cell r="AB296">
            <v>0</v>
          </cell>
          <cell r="AF296">
            <v>0</v>
          </cell>
        </row>
        <row r="297">
          <cell r="C297" t="str">
            <v>1103034</v>
          </cell>
          <cell r="G297">
            <v>5991</v>
          </cell>
          <cell r="I297">
            <v>20032320</v>
          </cell>
          <cell r="Z297">
            <v>0</v>
          </cell>
          <cell r="AB297">
            <v>0</v>
          </cell>
          <cell r="AF297">
            <v>0</v>
          </cell>
        </row>
        <row r="298">
          <cell r="C298" t="str">
            <v>1103036</v>
          </cell>
          <cell r="G298">
            <v>860</v>
          </cell>
          <cell r="I298">
            <v>5173083</v>
          </cell>
          <cell r="Z298">
            <v>0</v>
          </cell>
          <cell r="AB298">
            <v>0</v>
          </cell>
          <cell r="AF298">
            <v>0</v>
          </cell>
        </row>
        <row r="299">
          <cell r="C299" t="str">
            <v>1103037</v>
          </cell>
          <cell r="G299">
            <v>5100</v>
          </cell>
          <cell r="I299">
            <v>18598951</v>
          </cell>
          <cell r="Z299">
            <v>0</v>
          </cell>
          <cell r="AB299">
            <v>0</v>
          </cell>
          <cell r="AF299">
            <v>0</v>
          </cell>
        </row>
        <row r="300">
          <cell r="C300" t="str">
            <v>1103038</v>
          </cell>
          <cell r="G300">
            <v>0</v>
          </cell>
          <cell r="I300">
            <v>0</v>
          </cell>
          <cell r="Z300">
            <v>0</v>
          </cell>
          <cell r="AB300">
            <v>0</v>
          </cell>
          <cell r="AF300">
            <v>0</v>
          </cell>
        </row>
        <row r="301">
          <cell r="C301" t="str">
            <v>1103039</v>
          </cell>
          <cell r="G301">
            <v>0</v>
          </cell>
          <cell r="I301">
            <v>0</v>
          </cell>
          <cell r="Z301">
            <v>0</v>
          </cell>
          <cell r="AB301">
            <v>0</v>
          </cell>
          <cell r="AF301">
            <v>0</v>
          </cell>
        </row>
        <row r="302">
          <cell r="C302" t="str">
            <v>1103040</v>
          </cell>
          <cell r="G302">
            <v>0</v>
          </cell>
          <cell r="I302">
            <v>0</v>
          </cell>
          <cell r="Z302">
            <v>0</v>
          </cell>
          <cell r="AB302">
            <v>0</v>
          </cell>
          <cell r="AF302">
            <v>0</v>
          </cell>
        </row>
        <row r="303">
          <cell r="C303" t="str">
            <v>1103061</v>
          </cell>
          <cell r="G303">
            <v>40976</v>
          </cell>
          <cell r="I303">
            <v>116400359</v>
          </cell>
          <cell r="Z303">
            <v>43000</v>
          </cell>
          <cell r="AB303">
            <v>126118058</v>
          </cell>
          <cell r="AF303">
            <v>162405605</v>
          </cell>
        </row>
        <row r="304">
          <cell r="C304" t="str">
            <v>1103065</v>
          </cell>
          <cell r="G304">
            <v>3520</v>
          </cell>
          <cell r="I304">
            <v>13163765</v>
          </cell>
          <cell r="Z304">
            <v>11000</v>
          </cell>
          <cell r="AB304">
            <v>40736448</v>
          </cell>
          <cell r="AF304">
            <v>35868105</v>
          </cell>
        </row>
        <row r="305">
          <cell r="C305" t="str">
            <v>1103067</v>
          </cell>
          <cell r="G305">
            <v>69933</v>
          </cell>
          <cell r="I305">
            <v>191237847</v>
          </cell>
          <cell r="Z305">
            <v>80000</v>
          </cell>
          <cell r="AB305">
            <v>213300753</v>
          </cell>
          <cell r="AF305">
            <v>207189296</v>
          </cell>
        </row>
        <row r="306">
          <cell r="C306" t="str">
            <v>1103068</v>
          </cell>
          <cell r="G306">
            <v>0</v>
          </cell>
          <cell r="I306">
            <v>0</v>
          </cell>
          <cell r="Z306">
            <v>0</v>
          </cell>
          <cell r="AB306">
            <v>0</v>
          </cell>
          <cell r="AF306">
            <v>0</v>
          </cell>
        </row>
        <row r="307">
          <cell r="C307" t="str">
            <v>1103071</v>
          </cell>
          <cell r="G307">
            <v>0</v>
          </cell>
          <cell r="I307">
            <v>0</v>
          </cell>
          <cell r="Z307">
            <v>0</v>
          </cell>
          <cell r="AB307">
            <v>0</v>
          </cell>
          <cell r="AF307">
            <v>0</v>
          </cell>
        </row>
        <row r="308">
          <cell r="C308" t="str">
            <v>1103072</v>
          </cell>
          <cell r="G308">
            <v>0</v>
          </cell>
          <cell r="I308">
            <v>0</v>
          </cell>
          <cell r="Z308">
            <v>0</v>
          </cell>
          <cell r="AB308">
            <v>0</v>
          </cell>
          <cell r="AF308">
            <v>0</v>
          </cell>
        </row>
        <row r="309">
          <cell r="C309" t="str">
            <v>1103110</v>
          </cell>
          <cell r="G309">
            <v>688</v>
          </cell>
          <cell r="I309">
            <v>1321295</v>
          </cell>
          <cell r="Z309">
            <v>0</v>
          </cell>
          <cell r="AB309">
            <v>0</v>
          </cell>
          <cell r="AF309">
            <v>0</v>
          </cell>
        </row>
        <row r="310">
          <cell r="C310" t="str">
            <v>1103200</v>
          </cell>
          <cell r="G310">
            <v>121984</v>
          </cell>
          <cell r="I310">
            <v>301655179</v>
          </cell>
          <cell r="Z310">
            <v>100000</v>
          </cell>
          <cell r="AB310">
            <v>248610311</v>
          </cell>
          <cell r="AF310">
            <v>148826704</v>
          </cell>
        </row>
        <row r="311">
          <cell r="C311" t="str">
            <v>1103201</v>
          </cell>
          <cell r="G311">
            <v>427</v>
          </cell>
          <cell r="I311">
            <v>818046</v>
          </cell>
          <cell r="Z311">
            <v>0</v>
          </cell>
          <cell r="AB311">
            <v>0</v>
          </cell>
          <cell r="AF311">
            <v>0</v>
          </cell>
        </row>
        <row r="312">
          <cell r="C312" t="str">
            <v>1103202</v>
          </cell>
          <cell r="G312">
            <v>21745</v>
          </cell>
          <cell r="I312">
            <v>48960577</v>
          </cell>
          <cell r="Z312">
            <v>11000</v>
          </cell>
          <cell r="AB312">
            <v>24767365</v>
          </cell>
          <cell r="AF312">
            <v>0</v>
          </cell>
        </row>
        <row r="313">
          <cell r="C313" t="str">
            <v>1104001</v>
          </cell>
          <cell r="G313">
            <v>5165</v>
          </cell>
          <cell r="I313">
            <v>16048281</v>
          </cell>
          <cell r="Z313">
            <v>0</v>
          </cell>
          <cell r="AB313">
            <v>0</v>
          </cell>
          <cell r="AF313">
            <v>0</v>
          </cell>
        </row>
        <row r="314">
          <cell r="C314" t="str">
            <v>1104002</v>
          </cell>
          <cell r="G314">
            <v>538</v>
          </cell>
          <cell r="I314">
            <v>538</v>
          </cell>
          <cell r="Z314">
            <v>0</v>
          </cell>
          <cell r="AB314">
            <v>0</v>
          </cell>
          <cell r="AF314">
            <v>0</v>
          </cell>
        </row>
        <row r="315">
          <cell r="C315" t="str">
            <v>1104003</v>
          </cell>
          <cell r="G315">
            <v>15980</v>
          </cell>
          <cell r="I315">
            <v>71298897</v>
          </cell>
          <cell r="Z315">
            <v>24000</v>
          </cell>
          <cell r="AB315">
            <v>110300614</v>
          </cell>
          <cell r="AF315">
            <v>57490858</v>
          </cell>
        </row>
        <row r="316">
          <cell r="C316" t="str">
            <v>1104005</v>
          </cell>
          <cell r="G316">
            <v>42537</v>
          </cell>
          <cell r="I316">
            <v>101405004</v>
          </cell>
          <cell r="Z316">
            <v>0</v>
          </cell>
          <cell r="AB316">
            <v>0</v>
          </cell>
          <cell r="AF316">
            <v>0</v>
          </cell>
        </row>
        <row r="317">
          <cell r="C317" t="str">
            <v>1104006</v>
          </cell>
          <cell r="G317">
            <v>1044</v>
          </cell>
          <cell r="I317">
            <v>3907695</v>
          </cell>
          <cell r="Z317">
            <v>0</v>
          </cell>
          <cell r="AB317">
            <v>0</v>
          </cell>
          <cell r="AF317">
            <v>0</v>
          </cell>
        </row>
        <row r="318">
          <cell r="C318" t="str">
            <v>1105002</v>
          </cell>
          <cell r="G318">
            <v>0</v>
          </cell>
          <cell r="I318">
            <v>0</v>
          </cell>
          <cell r="Z318">
            <v>0</v>
          </cell>
          <cell r="AB318">
            <v>0</v>
          </cell>
          <cell r="AF318">
            <v>0</v>
          </cell>
        </row>
        <row r="319">
          <cell r="C319" t="str">
            <v>1105004</v>
          </cell>
          <cell r="G319">
            <v>0</v>
          </cell>
          <cell r="I319">
            <v>0</v>
          </cell>
          <cell r="Z319">
            <v>0</v>
          </cell>
          <cell r="AB319">
            <v>0</v>
          </cell>
          <cell r="AF319">
            <v>0</v>
          </cell>
        </row>
        <row r="320">
          <cell r="C320" t="str">
            <v>1105010</v>
          </cell>
          <cell r="G320">
            <v>0</v>
          </cell>
          <cell r="I320">
            <v>0</v>
          </cell>
          <cell r="Z320">
            <v>0</v>
          </cell>
          <cell r="AB320">
            <v>0</v>
          </cell>
          <cell r="AF320">
            <v>0</v>
          </cell>
        </row>
        <row r="321">
          <cell r="C321" t="str">
            <v>1105011</v>
          </cell>
          <cell r="G321">
            <v>1770</v>
          </cell>
          <cell r="I321">
            <v>13548927</v>
          </cell>
          <cell r="Z321">
            <v>18000</v>
          </cell>
          <cell r="AB321">
            <v>148754527</v>
          </cell>
          <cell r="AF321">
            <v>228590387</v>
          </cell>
        </row>
        <row r="322">
          <cell r="C322" t="str">
            <v>1105012</v>
          </cell>
          <cell r="G322">
            <v>1789</v>
          </cell>
          <cell r="I322">
            <v>11740547</v>
          </cell>
          <cell r="Z322">
            <v>729</v>
          </cell>
          <cell r="AB322">
            <v>4784158</v>
          </cell>
          <cell r="AF322">
            <v>0</v>
          </cell>
        </row>
        <row r="323">
          <cell r="C323" t="str">
            <v>1105013</v>
          </cell>
          <cell r="G323">
            <v>1669</v>
          </cell>
          <cell r="I323">
            <v>13418130</v>
          </cell>
          <cell r="Z323">
            <v>2000</v>
          </cell>
          <cell r="AB323">
            <v>16639049</v>
          </cell>
          <cell r="AF323">
            <v>10941438</v>
          </cell>
        </row>
        <row r="324">
          <cell r="C324" t="str">
            <v>1105014</v>
          </cell>
          <cell r="G324">
            <v>173</v>
          </cell>
          <cell r="I324">
            <v>1187643</v>
          </cell>
          <cell r="Z324">
            <v>0</v>
          </cell>
          <cell r="AB324">
            <v>0</v>
          </cell>
          <cell r="AF324">
            <v>0</v>
          </cell>
        </row>
        <row r="325">
          <cell r="C325" t="str">
            <v>1105015</v>
          </cell>
          <cell r="G325">
            <v>0</v>
          </cell>
          <cell r="I325">
            <v>0</v>
          </cell>
          <cell r="Z325">
            <v>0</v>
          </cell>
          <cell r="AB325">
            <v>0</v>
          </cell>
          <cell r="AF325">
            <v>0</v>
          </cell>
        </row>
        <row r="326">
          <cell r="C326" t="str">
            <v>1105016</v>
          </cell>
          <cell r="G326">
            <v>7167</v>
          </cell>
          <cell r="I326">
            <v>70607166</v>
          </cell>
          <cell r="Z326">
            <v>0</v>
          </cell>
          <cell r="AB326">
            <v>0</v>
          </cell>
          <cell r="AF326">
            <v>0</v>
          </cell>
        </row>
        <row r="327">
          <cell r="C327" t="str">
            <v>1105017</v>
          </cell>
          <cell r="G327">
            <v>0</v>
          </cell>
          <cell r="I327">
            <v>0</v>
          </cell>
          <cell r="Z327">
            <v>0</v>
          </cell>
          <cell r="AB327">
            <v>0</v>
          </cell>
          <cell r="AF327">
            <v>0</v>
          </cell>
        </row>
        <row r="328">
          <cell r="C328" t="str">
            <v>1105018</v>
          </cell>
          <cell r="G328">
            <v>199</v>
          </cell>
          <cell r="I328">
            <v>920876</v>
          </cell>
          <cell r="Z328">
            <v>0</v>
          </cell>
          <cell r="AB328">
            <v>0</v>
          </cell>
          <cell r="AF328">
            <v>0</v>
          </cell>
        </row>
        <row r="329">
          <cell r="C329" t="str">
            <v>1105019</v>
          </cell>
          <cell r="G329">
            <v>0</v>
          </cell>
          <cell r="I329">
            <v>0</v>
          </cell>
          <cell r="Z329">
            <v>0</v>
          </cell>
          <cell r="AB329">
            <v>0</v>
          </cell>
          <cell r="AF329">
            <v>0</v>
          </cell>
        </row>
        <row r="330">
          <cell r="C330" t="str">
            <v>1105020</v>
          </cell>
          <cell r="G330">
            <v>22272</v>
          </cell>
          <cell r="I330">
            <v>46179989</v>
          </cell>
          <cell r="Z330">
            <v>0</v>
          </cell>
          <cell r="AB330">
            <v>0</v>
          </cell>
          <cell r="AF330">
            <v>0</v>
          </cell>
        </row>
        <row r="331">
          <cell r="C331" t="str">
            <v>1105021</v>
          </cell>
          <cell r="G331">
            <v>0</v>
          </cell>
          <cell r="I331">
            <v>0</v>
          </cell>
          <cell r="Z331">
            <v>0</v>
          </cell>
          <cell r="AB331">
            <v>0</v>
          </cell>
          <cell r="AF331">
            <v>0</v>
          </cell>
        </row>
        <row r="332">
          <cell r="C332" t="str">
            <v>1105022</v>
          </cell>
          <cell r="G332">
            <v>0</v>
          </cell>
          <cell r="I332">
            <v>0</v>
          </cell>
          <cell r="Z332">
            <v>0</v>
          </cell>
          <cell r="AB332">
            <v>0</v>
          </cell>
          <cell r="AF332">
            <v>0</v>
          </cell>
        </row>
        <row r="333">
          <cell r="C333" t="str">
            <v>1105030</v>
          </cell>
          <cell r="G333">
            <v>545</v>
          </cell>
          <cell r="I333">
            <v>4819940</v>
          </cell>
          <cell r="Z333">
            <v>0</v>
          </cell>
          <cell r="AB333">
            <v>0</v>
          </cell>
          <cell r="AF333">
            <v>0</v>
          </cell>
        </row>
        <row r="334">
          <cell r="C334" t="str">
            <v>1106000</v>
          </cell>
          <cell r="G334">
            <v>21857</v>
          </cell>
          <cell r="I334">
            <v>51393584</v>
          </cell>
          <cell r="Z334">
            <v>0</v>
          </cell>
          <cell r="AB334">
            <v>0</v>
          </cell>
          <cell r="AF334">
            <v>0</v>
          </cell>
        </row>
        <row r="335">
          <cell r="C335" t="str">
            <v>1106005</v>
          </cell>
          <cell r="G335">
            <v>2242</v>
          </cell>
          <cell r="I335">
            <v>6090885</v>
          </cell>
          <cell r="Z335">
            <v>0</v>
          </cell>
          <cell r="AB335">
            <v>0</v>
          </cell>
          <cell r="AF335">
            <v>0</v>
          </cell>
        </row>
        <row r="336">
          <cell r="C336" t="str">
            <v>1106008</v>
          </cell>
          <cell r="G336">
            <v>514</v>
          </cell>
          <cell r="I336">
            <v>1780949</v>
          </cell>
          <cell r="Z336">
            <v>0</v>
          </cell>
          <cell r="AB336">
            <v>0</v>
          </cell>
          <cell r="AF336">
            <v>0</v>
          </cell>
        </row>
        <row r="337">
          <cell r="C337" t="str">
            <v>1106009</v>
          </cell>
          <cell r="G337">
            <v>96894</v>
          </cell>
          <cell r="I337">
            <v>337581433</v>
          </cell>
          <cell r="Z337">
            <v>60000</v>
          </cell>
          <cell r="AB337">
            <v>209472636</v>
          </cell>
          <cell r="AF337">
            <v>282335377</v>
          </cell>
        </row>
        <row r="338">
          <cell r="C338" t="str">
            <v>1106010</v>
          </cell>
          <cell r="G338">
            <v>2138</v>
          </cell>
          <cell r="I338">
            <v>6264193</v>
          </cell>
          <cell r="Z338">
            <v>0</v>
          </cell>
          <cell r="AB338">
            <v>0</v>
          </cell>
          <cell r="AF338">
            <v>0</v>
          </cell>
        </row>
        <row r="339">
          <cell r="C339" t="str">
            <v>1107002</v>
          </cell>
          <cell r="G339">
            <v>72879</v>
          </cell>
          <cell r="I339">
            <v>201079697</v>
          </cell>
          <cell r="Z339">
            <v>40000</v>
          </cell>
          <cell r="AB339">
            <v>109177192</v>
          </cell>
          <cell r="AF339">
            <v>170886997</v>
          </cell>
        </row>
        <row r="340">
          <cell r="C340" t="str">
            <v>1107201</v>
          </cell>
          <cell r="G340">
            <v>0</v>
          </cell>
          <cell r="I340">
            <v>0</v>
          </cell>
          <cell r="Z340">
            <v>0</v>
          </cell>
          <cell r="AB340">
            <v>0</v>
          </cell>
          <cell r="AF340">
            <v>0</v>
          </cell>
        </row>
        <row r="341">
          <cell r="C341" t="str">
            <v>1109002</v>
          </cell>
          <cell r="G341">
            <v>48967</v>
          </cell>
          <cell r="I341">
            <v>212485788</v>
          </cell>
          <cell r="Z341">
            <v>20000</v>
          </cell>
          <cell r="AB341">
            <v>85120281</v>
          </cell>
          <cell r="AF341">
            <v>95224029</v>
          </cell>
        </row>
        <row r="342">
          <cell r="C342" t="str">
            <v>1109005</v>
          </cell>
          <cell r="G342">
            <v>0</v>
          </cell>
          <cell r="I342">
            <v>0</v>
          </cell>
          <cell r="Z342">
            <v>0</v>
          </cell>
          <cell r="AB342">
            <v>0</v>
          </cell>
          <cell r="AF342">
            <v>0</v>
          </cell>
        </row>
        <row r="343">
          <cell r="C343" t="str">
            <v>1112001</v>
          </cell>
          <cell r="G343">
            <v>0</v>
          </cell>
          <cell r="I343">
            <v>0</v>
          </cell>
          <cell r="Z343">
            <v>0</v>
          </cell>
          <cell r="AB343">
            <v>0</v>
          </cell>
          <cell r="AF343">
            <v>0</v>
          </cell>
        </row>
        <row r="344">
          <cell r="C344" t="str">
            <v>1113001</v>
          </cell>
          <cell r="G344">
            <v>0</v>
          </cell>
          <cell r="I344">
            <v>0</v>
          </cell>
          <cell r="Z344">
            <v>0</v>
          </cell>
          <cell r="AB344">
            <v>0</v>
          </cell>
          <cell r="AF344">
            <v>0</v>
          </cell>
        </row>
        <row r="345">
          <cell r="C345" t="str">
            <v>1213201</v>
          </cell>
          <cell r="G345">
            <v>0</v>
          </cell>
          <cell r="I345">
            <v>0</v>
          </cell>
          <cell r="Z345">
            <v>0</v>
          </cell>
          <cell r="AB345">
            <v>0</v>
          </cell>
          <cell r="AF345">
            <v>0</v>
          </cell>
        </row>
        <row r="346">
          <cell r="C346" t="str">
            <v>1303011</v>
          </cell>
          <cell r="G346">
            <v>0</v>
          </cell>
          <cell r="I346">
            <v>0</v>
          </cell>
          <cell r="Z346">
            <v>0</v>
          </cell>
          <cell r="AB346">
            <v>0</v>
          </cell>
          <cell r="AF346">
            <v>0</v>
          </cell>
        </row>
        <row r="347">
          <cell r="C347" t="str">
            <v>1303015</v>
          </cell>
          <cell r="G347">
            <v>0</v>
          </cell>
          <cell r="I347">
            <v>0</v>
          </cell>
          <cell r="Z347">
            <v>0</v>
          </cell>
          <cell r="AB347">
            <v>0</v>
          </cell>
          <cell r="AF347">
            <v>0</v>
          </cell>
        </row>
        <row r="348">
          <cell r="C348" t="str">
            <v>1303021</v>
          </cell>
          <cell r="G348">
            <v>0</v>
          </cell>
          <cell r="I348">
            <v>0</v>
          </cell>
          <cell r="Z348">
            <v>0</v>
          </cell>
          <cell r="AB348">
            <v>0</v>
          </cell>
          <cell r="AF348">
            <v>0</v>
          </cell>
        </row>
        <row r="349">
          <cell r="C349" t="str">
            <v>1303034</v>
          </cell>
          <cell r="G349">
            <v>460</v>
          </cell>
          <cell r="I349">
            <v>1475556</v>
          </cell>
          <cell r="Z349">
            <v>0</v>
          </cell>
          <cell r="AB349">
            <v>0</v>
          </cell>
          <cell r="AF349">
            <v>0</v>
          </cell>
        </row>
        <row r="350">
          <cell r="C350" t="str">
            <v>1303036</v>
          </cell>
          <cell r="G350">
            <v>62</v>
          </cell>
          <cell r="I350">
            <v>346607</v>
          </cell>
          <cell r="Z350">
            <v>0</v>
          </cell>
          <cell r="AB350">
            <v>0</v>
          </cell>
          <cell r="AF350">
            <v>0</v>
          </cell>
        </row>
        <row r="351">
          <cell r="C351" t="str">
            <v>1303037</v>
          </cell>
          <cell r="G351">
            <v>0</v>
          </cell>
          <cell r="I351">
            <v>0</v>
          </cell>
          <cell r="Z351">
            <v>0</v>
          </cell>
          <cell r="AB351">
            <v>0</v>
          </cell>
          <cell r="AF351">
            <v>0</v>
          </cell>
        </row>
        <row r="352">
          <cell r="C352" t="str">
            <v>1303039</v>
          </cell>
          <cell r="G352">
            <v>150</v>
          </cell>
          <cell r="I352">
            <v>767323</v>
          </cell>
          <cell r="Z352">
            <v>0</v>
          </cell>
          <cell r="AB352">
            <v>0</v>
          </cell>
          <cell r="AF352">
            <v>0</v>
          </cell>
        </row>
        <row r="353">
          <cell r="C353" t="str">
            <v>1304001</v>
          </cell>
          <cell r="G353">
            <v>174</v>
          </cell>
          <cell r="I353">
            <v>530016</v>
          </cell>
          <cell r="Z353">
            <v>0</v>
          </cell>
          <cell r="AB353">
            <v>0</v>
          </cell>
          <cell r="AF353">
            <v>0</v>
          </cell>
        </row>
        <row r="354">
          <cell r="C354" t="str">
            <v>1304002</v>
          </cell>
          <cell r="G354">
            <v>202</v>
          </cell>
          <cell r="I354">
            <v>724890</v>
          </cell>
          <cell r="Z354">
            <v>0</v>
          </cell>
          <cell r="AB354">
            <v>0</v>
          </cell>
          <cell r="AF354">
            <v>0</v>
          </cell>
        </row>
        <row r="355">
          <cell r="C355" t="str">
            <v>1304004</v>
          </cell>
          <cell r="G355">
            <v>0</v>
          </cell>
          <cell r="I355">
            <v>0</v>
          </cell>
          <cell r="Z355">
            <v>0</v>
          </cell>
          <cell r="AB355">
            <v>0</v>
          </cell>
          <cell r="AF355">
            <v>0</v>
          </cell>
        </row>
        <row r="356">
          <cell r="C356" t="str">
            <v>1305002</v>
          </cell>
          <cell r="G356">
            <v>0</v>
          </cell>
          <cell r="I356">
            <v>0</v>
          </cell>
          <cell r="Z356">
            <v>0</v>
          </cell>
          <cell r="AB356">
            <v>0</v>
          </cell>
          <cell r="AF356">
            <v>0</v>
          </cell>
        </row>
        <row r="357">
          <cell r="C357" t="str">
            <v>1306000</v>
          </cell>
          <cell r="G357">
            <v>0</v>
          </cell>
          <cell r="I357">
            <v>0</v>
          </cell>
          <cell r="Z357">
            <v>0</v>
          </cell>
          <cell r="AB357">
            <v>0</v>
          </cell>
          <cell r="AF357">
            <v>0</v>
          </cell>
        </row>
        <row r="358">
          <cell r="C358" t="str">
            <v>1306003</v>
          </cell>
          <cell r="G358">
            <v>150</v>
          </cell>
          <cell r="I358">
            <v>591149</v>
          </cell>
          <cell r="Z358">
            <v>0</v>
          </cell>
          <cell r="AB358">
            <v>0</v>
          </cell>
          <cell r="AF358">
            <v>0</v>
          </cell>
        </row>
        <row r="359">
          <cell r="C359" t="str">
            <v>1306005</v>
          </cell>
          <cell r="G359">
            <v>0</v>
          </cell>
          <cell r="I359">
            <v>0</v>
          </cell>
          <cell r="Z359">
            <v>0</v>
          </cell>
          <cell r="AB359">
            <v>0</v>
          </cell>
          <cell r="AF359">
            <v>0</v>
          </cell>
        </row>
        <row r="360">
          <cell r="C360" t="str">
            <v>1306009</v>
          </cell>
          <cell r="G360">
            <v>0</v>
          </cell>
          <cell r="I360">
            <v>0</v>
          </cell>
          <cell r="Z360">
            <v>0</v>
          </cell>
          <cell r="AB360">
            <v>0</v>
          </cell>
          <cell r="AF360">
            <v>0</v>
          </cell>
        </row>
        <row r="361">
          <cell r="C361" t="str">
            <v>1307033</v>
          </cell>
          <cell r="G361">
            <v>0</v>
          </cell>
          <cell r="I361">
            <v>0</v>
          </cell>
          <cell r="Z361">
            <v>0</v>
          </cell>
          <cell r="AB361">
            <v>0</v>
          </cell>
          <cell r="AF361">
            <v>0</v>
          </cell>
        </row>
        <row r="362">
          <cell r="C362" t="str">
            <v>1307043</v>
          </cell>
          <cell r="G362">
            <v>0</v>
          </cell>
          <cell r="I362">
            <v>0</v>
          </cell>
          <cell r="Z362">
            <v>0</v>
          </cell>
          <cell r="AB362">
            <v>0</v>
          </cell>
          <cell r="AF362">
            <v>0</v>
          </cell>
        </row>
        <row r="363">
          <cell r="C363" t="str">
            <v>1307044</v>
          </cell>
          <cell r="G363">
            <v>562</v>
          </cell>
          <cell r="I363">
            <v>2576727</v>
          </cell>
          <cell r="Z363">
            <v>0</v>
          </cell>
          <cell r="AB363">
            <v>0</v>
          </cell>
          <cell r="AF363">
            <v>0</v>
          </cell>
        </row>
        <row r="364">
          <cell r="C364" t="str">
            <v>1307051</v>
          </cell>
          <cell r="G364">
            <v>0</v>
          </cell>
          <cell r="I364">
            <v>0</v>
          </cell>
          <cell r="Z364">
            <v>0</v>
          </cell>
          <cell r="AB364">
            <v>0</v>
          </cell>
          <cell r="AF364">
            <v>0</v>
          </cell>
        </row>
        <row r="365">
          <cell r="C365" t="str">
            <v>1307054</v>
          </cell>
          <cell r="G365">
            <v>2983</v>
          </cell>
          <cell r="I365">
            <v>11151528</v>
          </cell>
          <cell r="Z365">
            <v>1000</v>
          </cell>
          <cell r="AB365">
            <v>3738360</v>
          </cell>
          <cell r="AF365">
            <v>0</v>
          </cell>
        </row>
        <row r="366">
          <cell r="C366" t="str">
            <v>1307055</v>
          </cell>
          <cell r="G366">
            <v>0</v>
          </cell>
          <cell r="I366">
            <v>0</v>
          </cell>
          <cell r="Z366">
            <v>0</v>
          </cell>
          <cell r="AB366">
            <v>0</v>
          </cell>
          <cell r="AF366">
            <v>0</v>
          </cell>
        </row>
        <row r="367">
          <cell r="C367" t="str">
            <v>1307057</v>
          </cell>
          <cell r="G367">
            <v>3076</v>
          </cell>
          <cell r="I367">
            <v>11995008</v>
          </cell>
          <cell r="Z367">
            <v>5145</v>
          </cell>
          <cell r="AB367">
            <v>19732923</v>
          </cell>
          <cell r="AF367">
            <v>18116396</v>
          </cell>
        </row>
        <row r="368">
          <cell r="C368" t="str">
            <v>1307059</v>
          </cell>
          <cell r="G368">
            <v>1764</v>
          </cell>
          <cell r="I368">
            <v>5663607</v>
          </cell>
          <cell r="Z368">
            <v>0</v>
          </cell>
          <cell r="AB368">
            <v>0</v>
          </cell>
          <cell r="AF368">
            <v>0</v>
          </cell>
        </row>
        <row r="369">
          <cell r="C369" t="str">
            <v>1307063</v>
          </cell>
          <cell r="G369">
            <v>497</v>
          </cell>
          <cell r="I369">
            <v>1731457</v>
          </cell>
          <cell r="Z369">
            <v>0</v>
          </cell>
          <cell r="AB369">
            <v>0</v>
          </cell>
          <cell r="AF369">
            <v>0</v>
          </cell>
        </row>
        <row r="370">
          <cell r="C370" t="str">
            <v>1307065</v>
          </cell>
          <cell r="G370">
            <v>958</v>
          </cell>
          <cell r="I370">
            <v>3669101</v>
          </cell>
          <cell r="Z370">
            <v>0</v>
          </cell>
          <cell r="AB370">
            <v>0</v>
          </cell>
          <cell r="AF370">
            <v>0</v>
          </cell>
        </row>
        <row r="371">
          <cell r="C371" t="str">
            <v>1307071</v>
          </cell>
          <cell r="G371">
            <v>519</v>
          </cell>
          <cell r="I371">
            <v>1722089</v>
          </cell>
          <cell r="Z371">
            <v>0</v>
          </cell>
          <cell r="AB371">
            <v>0</v>
          </cell>
          <cell r="AF371">
            <v>0</v>
          </cell>
        </row>
        <row r="372">
          <cell r="C372" t="str">
            <v>1307073</v>
          </cell>
          <cell r="G372">
            <v>0</v>
          </cell>
          <cell r="I372">
            <v>0</v>
          </cell>
          <cell r="Z372">
            <v>0</v>
          </cell>
          <cell r="AB372">
            <v>0</v>
          </cell>
          <cell r="AF372">
            <v>0</v>
          </cell>
        </row>
        <row r="373">
          <cell r="C373" t="str">
            <v>1307075</v>
          </cell>
          <cell r="G373">
            <v>2987</v>
          </cell>
          <cell r="I373">
            <v>11166828</v>
          </cell>
          <cell r="Z373">
            <v>1000</v>
          </cell>
          <cell r="AB373">
            <v>3738476</v>
          </cell>
          <cell r="AF373">
            <v>0</v>
          </cell>
        </row>
        <row r="374">
          <cell r="C374" t="str">
            <v>1307077</v>
          </cell>
          <cell r="G374">
            <v>0</v>
          </cell>
          <cell r="I374">
            <v>0</v>
          </cell>
          <cell r="Z374">
            <v>2000</v>
          </cell>
          <cell r="AB374">
            <v>7374772</v>
          </cell>
          <cell r="AF374">
            <v>18212000</v>
          </cell>
        </row>
        <row r="375">
          <cell r="C375" t="str">
            <v>1307079</v>
          </cell>
          <cell r="G375">
            <v>1950</v>
          </cell>
          <cell r="I375">
            <v>7583290</v>
          </cell>
          <cell r="Z375">
            <v>0</v>
          </cell>
          <cell r="AB375">
            <v>0</v>
          </cell>
          <cell r="AF375">
            <v>0</v>
          </cell>
        </row>
        <row r="376">
          <cell r="C376" t="str">
            <v>1307081</v>
          </cell>
          <cell r="G376">
            <v>0</v>
          </cell>
          <cell r="I376">
            <v>0</v>
          </cell>
          <cell r="Z376">
            <v>1000</v>
          </cell>
          <cell r="AB376">
            <v>3983093</v>
          </cell>
          <cell r="AF376">
            <v>7767031</v>
          </cell>
        </row>
        <row r="377">
          <cell r="C377" t="str">
            <v>1307083</v>
          </cell>
          <cell r="G377">
            <v>0</v>
          </cell>
          <cell r="I377">
            <v>0</v>
          </cell>
          <cell r="Z377">
            <v>0</v>
          </cell>
          <cell r="AB377">
            <v>0</v>
          </cell>
          <cell r="AF377">
            <v>0</v>
          </cell>
        </row>
        <row r="378">
          <cell r="C378" t="str">
            <v>1307087</v>
          </cell>
          <cell r="G378">
            <v>7020</v>
          </cell>
          <cell r="I378">
            <v>26388334</v>
          </cell>
          <cell r="Z378">
            <v>1000</v>
          </cell>
          <cell r="AB378">
            <v>3759022</v>
          </cell>
          <cell r="AF378">
            <v>0</v>
          </cell>
        </row>
        <row r="379">
          <cell r="C379" t="str">
            <v>1307089</v>
          </cell>
          <cell r="G379">
            <v>2023</v>
          </cell>
          <cell r="I379">
            <v>7861621</v>
          </cell>
          <cell r="Z379">
            <v>0</v>
          </cell>
          <cell r="AB379">
            <v>0</v>
          </cell>
          <cell r="AF379">
            <v>0</v>
          </cell>
        </row>
        <row r="380">
          <cell r="C380" t="str">
            <v>1307171</v>
          </cell>
          <cell r="G380">
            <v>3975</v>
          </cell>
          <cell r="I380">
            <v>17190302</v>
          </cell>
          <cell r="Z380">
            <v>0</v>
          </cell>
          <cell r="AB380">
            <v>0</v>
          </cell>
          <cell r="AF380">
            <v>0</v>
          </cell>
        </row>
        <row r="381">
          <cell r="C381" t="str">
            <v>1307175</v>
          </cell>
          <cell r="G381">
            <v>0</v>
          </cell>
          <cell r="I381">
            <v>0</v>
          </cell>
          <cell r="Z381">
            <v>0</v>
          </cell>
          <cell r="AB381">
            <v>0</v>
          </cell>
          <cell r="AF381">
            <v>0</v>
          </cell>
        </row>
        <row r="382">
          <cell r="C382" t="str">
            <v>1307177</v>
          </cell>
          <cell r="G382">
            <v>0</v>
          </cell>
          <cell r="I382">
            <v>0</v>
          </cell>
          <cell r="Z382">
            <v>0</v>
          </cell>
          <cell r="AB382">
            <v>0</v>
          </cell>
          <cell r="AF382">
            <v>0</v>
          </cell>
        </row>
        <row r="383">
          <cell r="C383" t="str">
            <v>1307185</v>
          </cell>
          <cell r="G383">
            <v>1913</v>
          </cell>
          <cell r="I383">
            <v>7837185</v>
          </cell>
          <cell r="Z383">
            <v>2913</v>
          </cell>
          <cell r="AB383">
            <v>11698609</v>
          </cell>
          <cell r="AF383">
            <v>19523825</v>
          </cell>
        </row>
        <row r="384">
          <cell r="C384" t="str">
            <v>1307201</v>
          </cell>
          <cell r="G384">
            <v>0</v>
          </cell>
          <cell r="I384">
            <v>0</v>
          </cell>
          <cell r="Z384">
            <v>0</v>
          </cell>
          <cell r="AB384">
            <v>0</v>
          </cell>
          <cell r="AF384">
            <v>0</v>
          </cell>
        </row>
        <row r="385">
          <cell r="C385" t="str">
            <v>1310001</v>
          </cell>
          <cell r="G385">
            <v>4000</v>
          </cell>
          <cell r="I385">
            <v>9614430</v>
          </cell>
          <cell r="Z385">
            <v>0</v>
          </cell>
          <cell r="AB385">
            <v>0</v>
          </cell>
          <cell r="AF385">
            <v>0</v>
          </cell>
        </row>
        <row r="386">
          <cell r="C386" t="str">
            <v>1312100</v>
          </cell>
          <cell r="G386">
            <v>0</v>
          </cell>
          <cell r="I386">
            <v>0</v>
          </cell>
          <cell r="Z386">
            <v>0</v>
          </cell>
          <cell r="AB386">
            <v>0</v>
          </cell>
          <cell r="AF386">
            <v>0</v>
          </cell>
        </row>
        <row r="387">
          <cell r="C387" t="str">
            <v>1312105</v>
          </cell>
          <cell r="G387">
            <v>0</v>
          </cell>
          <cell r="I387">
            <v>0</v>
          </cell>
          <cell r="Z387">
            <v>0</v>
          </cell>
          <cell r="AB387">
            <v>0</v>
          </cell>
          <cell r="AF387">
            <v>0</v>
          </cell>
        </row>
        <row r="388">
          <cell r="C388" t="str">
            <v>1312110</v>
          </cell>
          <cell r="G388">
            <v>18204</v>
          </cell>
          <cell r="I388">
            <v>39870585</v>
          </cell>
          <cell r="Z388">
            <v>0</v>
          </cell>
          <cell r="AB388">
            <v>0</v>
          </cell>
          <cell r="AF388">
            <v>0</v>
          </cell>
        </row>
        <row r="389">
          <cell r="C389" t="str">
            <v>1312111</v>
          </cell>
          <cell r="G389">
            <v>16000</v>
          </cell>
          <cell r="I389">
            <v>37071812</v>
          </cell>
          <cell r="Z389">
            <v>16000</v>
          </cell>
          <cell r="AB389">
            <v>37194709</v>
          </cell>
          <cell r="AF389">
            <v>37317606</v>
          </cell>
        </row>
        <row r="390">
          <cell r="C390" t="str">
            <v>1312112</v>
          </cell>
          <cell r="G390">
            <v>6000</v>
          </cell>
          <cell r="I390">
            <v>14061295</v>
          </cell>
          <cell r="Z390">
            <v>6000</v>
          </cell>
          <cell r="AB390">
            <v>14116644</v>
          </cell>
          <cell r="AF390">
            <v>14171993</v>
          </cell>
        </row>
        <row r="391">
          <cell r="C391" t="str">
            <v>1312113</v>
          </cell>
          <cell r="G391">
            <v>2000</v>
          </cell>
          <cell r="I391">
            <v>4667967</v>
          </cell>
          <cell r="Z391">
            <v>0</v>
          </cell>
          <cell r="AB391">
            <v>0</v>
          </cell>
          <cell r="AF391">
            <v>0</v>
          </cell>
        </row>
        <row r="392">
          <cell r="C392" t="str">
            <v>1312114</v>
          </cell>
          <cell r="G392">
            <v>0</v>
          </cell>
          <cell r="I392">
            <v>0</v>
          </cell>
          <cell r="Z392">
            <v>0</v>
          </cell>
          <cell r="AB392">
            <v>0</v>
          </cell>
          <cell r="AF392">
            <v>0</v>
          </cell>
        </row>
        <row r="393">
          <cell r="C393" t="str">
            <v>1313100</v>
          </cell>
          <cell r="G393">
            <v>0</v>
          </cell>
          <cell r="I393">
            <v>0</v>
          </cell>
          <cell r="Z393">
            <v>0</v>
          </cell>
          <cell r="AB393">
            <v>0</v>
          </cell>
          <cell r="AF393">
            <v>0</v>
          </cell>
        </row>
        <row r="394">
          <cell r="C394" t="str">
            <v>1313103</v>
          </cell>
          <cell r="G394">
            <v>0</v>
          </cell>
          <cell r="I394">
            <v>0</v>
          </cell>
          <cell r="Z394">
            <v>0</v>
          </cell>
          <cell r="AB394">
            <v>0</v>
          </cell>
          <cell r="AF394">
            <v>0</v>
          </cell>
        </row>
        <row r="395">
          <cell r="C395" t="str">
            <v>1313104</v>
          </cell>
          <cell r="G395">
            <v>10000</v>
          </cell>
          <cell r="I395">
            <v>23491319</v>
          </cell>
          <cell r="Z395">
            <v>10000</v>
          </cell>
          <cell r="AB395">
            <v>23491319</v>
          </cell>
          <cell r="AF395">
            <v>0</v>
          </cell>
        </row>
        <row r="396">
          <cell r="C396" t="str">
            <v>1501001</v>
          </cell>
          <cell r="G396">
            <v>2695</v>
          </cell>
          <cell r="I396">
            <v>12201850</v>
          </cell>
          <cell r="Z396">
            <v>313</v>
          </cell>
          <cell r="AB396">
            <v>1389108</v>
          </cell>
          <cell r="AF396">
            <v>2683352</v>
          </cell>
        </row>
        <row r="397">
          <cell r="C397" t="str">
            <v>1501101</v>
          </cell>
          <cell r="G397">
            <v>4077</v>
          </cell>
          <cell r="I397">
            <v>14958031</v>
          </cell>
          <cell r="Z397">
            <v>0</v>
          </cell>
          <cell r="AB397">
            <v>0</v>
          </cell>
          <cell r="AF397">
            <v>0</v>
          </cell>
        </row>
        <row r="398">
          <cell r="C398" t="str">
            <v>1999002</v>
          </cell>
          <cell r="G398">
            <v>0</v>
          </cell>
          <cell r="I398">
            <v>0</v>
          </cell>
          <cell r="Z398">
            <v>0</v>
          </cell>
          <cell r="AB398">
            <v>0</v>
          </cell>
          <cell r="AF398">
            <v>0</v>
          </cell>
        </row>
        <row r="399">
          <cell r="C399" t="str">
            <v>1999006</v>
          </cell>
          <cell r="G399">
            <v>0</v>
          </cell>
          <cell r="I399">
            <v>0</v>
          </cell>
          <cell r="Z399">
            <v>0</v>
          </cell>
          <cell r="AB399">
            <v>0</v>
          </cell>
          <cell r="AF399">
            <v>0</v>
          </cell>
        </row>
        <row r="400">
          <cell r="C400" t="str">
            <v>1999009</v>
          </cell>
          <cell r="G400">
            <v>0</v>
          </cell>
          <cell r="I400">
            <v>0</v>
          </cell>
          <cell r="Z400">
            <v>0</v>
          </cell>
          <cell r="AB400">
            <v>0</v>
          </cell>
          <cell r="AF400">
            <v>0</v>
          </cell>
        </row>
        <row r="401">
          <cell r="C401" t="str">
            <v>1999099</v>
          </cell>
          <cell r="G401">
            <v>0</v>
          </cell>
          <cell r="I401">
            <v>0</v>
          </cell>
          <cell r="Z401">
            <v>0</v>
          </cell>
          <cell r="AB401">
            <v>0</v>
          </cell>
          <cell r="AF401">
            <v>0</v>
          </cell>
        </row>
        <row r="402">
          <cell r="C402" t="str">
            <v>3408133</v>
          </cell>
          <cell r="G402">
            <v>0</v>
          </cell>
          <cell r="I402">
            <v>0</v>
          </cell>
          <cell r="Z402">
            <v>0</v>
          </cell>
          <cell r="AB402">
            <v>0</v>
          </cell>
          <cell r="AF402">
            <v>0</v>
          </cell>
        </row>
        <row r="403">
          <cell r="C403" t="str">
            <v>3408160</v>
          </cell>
          <cell r="G403">
            <v>0</v>
          </cell>
          <cell r="I403">
            <v>0</v>
          </cell>
          <cell r="Z403">
            <v>0</v>
          </cell>
          <cell r="AB403">
            <v>0</v>
          </cell>
          <cell r="AF403">
            <v>0</v>
          </cell>
        </row>
        <row r="404">
          <cell r="C404" t="str">
            <v>3413002</v>
          </cell>
          <cell r="G404">
            <v>0</v>
          </cell>
          <cell r="I404">
            <v>0</v>
          </cell>
          <cell r="Z404">
            <v>4148</v>
          </cell>
          <cell r="AB404">
            <v>7631825</v>
          </cell>
          <cell r="AF404">
            <v>7631825</v>
          </cell>
        </row>
        <row r="405">
          <cell r="C405" t="str">
            <v>3413007</v>
          </cell>
          <cell r="G405">
            <v>10887</v>
          </cell>
          <cell r="I405">
            <v>20595196</v>
          </cell>
          <cell r="Z405">
            <v>10033</v>
          </cell>
          <cell r="AB405">
            <v>18579076</v>
          </cell>
          <cell r="AF405">
            <v>18824000</v>
          </cell>
        </row>
        <row r="406">
          <cell r="C406" t="str">
            <v>3413008</v>
          </cell>
          <cell r="G406">
            <v>19529.599999999999</v>
          </cell>
          <cell r="I406">
            <v>39997305</v>
          </cell>
          <cell r="Z406">
            <v>0</v>
          </cell>
          <cell r="AB406">
            <v>0</v>
          </cell>
          <cell r="AF406">
            <v>0</v>
          </cell>
        </row>
        <row r="407">
          <cell r="C407" t="str">
            <v>3413009</v>
          </cell>
          <cell r="G407">
            <v>0</v>
          </cell>
          <cell r="I407">
            <v>0</v>
          </cell>
          <cell r="Z407">
            <v>0</v>
          </cell>
          <cell r="AB407">
            <v>0</v>
          </cell>
          <cell r="AF407">
            <v>0</v>
          </cell>
        </row>
        <row r="408">
          <cell r="C408" t="str">
            <v>3413010</v>
          </cell>
          <cell r="G408">
            <v>748</v>
          </cell>
          <cell r="I408">
            <v>1436160</v>
          </cell>
          <cell r="Z408">
            <v>723</v>
          </cell>
          <cell r="AB408">
            <v>1388160</v>
          </cell>
          <cell r="AF408">
            <v>0</v>
          </cell>
        </row>
        <row r="409">
          <cell r="C409" t="str">
            <v>3413101</v>
          </cell>
          <cell r="G409">
            <v>0</v>
          </cell>
          <cell r="I409">
            <v>0</v>
          </cell>
          <cell r="Z409">
            <v>1736</v>
          </cell>
          <cell r="AB409">
            <v>8606677</v>
          </cell>
          <cell r="AF409">
            <v>0</v>
          </cell>
        </row>
        <row r="410">
          <cell r="C410" t="str">
            <v>3413107</v>
          </cell>
          <cell r="G410">
            <v>0</v>
          </cell>
          <cell r="I410">
            <v>0</v>
          </cell>
          <cell r="Z410">
            <v>0</v>
          </cell>
          <cell r="AB410">
            <v>0</v>
          </cell>
          <cell r="AF410">
            <v>0</v>
          </cell>
        </row>
        <row r="411">
          <cell r="C411" t="str">
            <v>3413121</v>
          </cell>
          <cell r="G411">
            <v>12.5</v>
          </cell>
          <cell r="I411">
            <v>15000</v>
          </cell>
          <cell r="Z411">
            <v>0</v>
          </cell>
          <cell r="AB411">
            <v>0</v>
          </cell>
          <cell r="AF411">
            <v>0</v>
          </cell>
        </row>
        <row r="412">
          <cell r="C412" t="str">
            <v>3413151</v>
          </cell>
          <cell r="G412">
            <v>0</v>
          </cell>
          <cell r="I412">
            <v>0</v>
          </cell>
          <cell r="Z412">
            <v>0</v>
          </cell>
          <cell r="AB412">
            <v>0</v>
          </cell>
          <cell r="AF412">
            <v>0</v>
          </cell>
        </row>
        <row r="413">
          <cell r="C413" t="str">
            <v>3413201</v>
          </cell>
          <cell r="G413">
            <v>2347</v>
          </cell>
          <cell r="I413">
            <v>5996179</v>
          </cell>
          <cell r="Z413">
            <v>299</v>
          </cell>
          <cell r="AB413">
            <v>763894</v>
          </cell>
          <cell r="AF413">
            <v>0</v>
          </cell>
        </row>
        <row r="414">
          <cell r="C414" t="str">
            <v>3413301</v>
          </cell>
          <cell r="G414">
            <v>384</v>
          </cell>
          <cell r="I414">
            <v>684248</v>
          </cell>
          <cell r="Z414">
            <v>0</v>
          </cell>
          <cell r="AB414">
            <v>0</v>
          </cell>
          <cell r="AF414">
            <v>0</v>
          </cell>
        </row>
        <row r="415">
          <cell r="C415" t="str">
            <v>3413303</v>
          </cell>
          <cell r="G415">
            <v>0</v>
          </cell>
          <cell r="I415">
            <v>0</v>
          </cell>
          <cell r="Z415">
            <v>0</v>
          </cell>
          <cell r="AB415">
            <v>0</v>
          </cell>
          <cell r="AF415">
            <v>0</v>
          </cell>
        </row>
        <row r="416">
          <cell r="C416" t="str">
            <v>3413304</v>
          </cell>
          <cell r="G416">
            <v>0</v>
          </cell>
          <cell r="I416">
            <v>0</v>
          </cell>
          <cell r="Z416">
            <v>0</v>
          </cell>
          <cell r="AB416">
            <v>0</v>
          </cell>
          <cell r="AF416">
            <v>0</v>
          </cell>
        </row>
        <row r="417">
          <cell r="C417" t="str">
            <v>3413305</v>
          </cell>
          <cell r="G417">
            <v>37700</v>
          </cell>
          <cell r="I417">
            <v>56197466</v>
          </cell>
          <cell r="Z417">
            <v>38450</v>
          </cell>
          <cell r="AB417">
            <v>56843696</v>
          </cell>
          <cell r="AF417">
            <v>81144000</v>
          </cell>
        </row>
        <row r="418">
          <cell r="C418" t="str">
            <v>3413306</v>
          </cell>
          <cell r="G418">
            <v>101</v>
          </cell>
          <cell r="I418">
            <v>180219</v>
          </cell>
          <cell r="Z418">
            <v>0</v>
          </cell>
          <cell r="AB418">
            <v>0</v>
          </cell>
          <cell r="AF418">
            <v>0</v>
          </cell>
        </row>
        <row r="419">
          <cell r="C419" t="str">
            <v>3413307</v>
          </cell>
          <cell r="G419">
            <v>0</v>
          </cell>
          <cell r="I419">
            <v>0</v>
          </cell>
          <cell r="Z419">
            <v>0</v>
          </cell>
          <cell r="AB419">
            <v>0</v>
          </cell>
          <cell r="AF419">
            <v>0</v>
          </cell>
        </row>
        <row r="420">
          <cell r="C420" t="str">
            <v>3413308</v>
          </cell>
          <cell r="G420">
            <v>0</v>
          </cell>
          <cell r="I420">
            <v>0</v>
          </cell>
          <cell r="Z420">
            <v>0</v>
          </cell>
          <cell r="AB420">
            <v>0</v>
          </cell>
          <cell r="AF420">
            <v>0</v>
          </cell>
        </row>
        <row r="421">
          <cell r="C421" t="str">
            <v>3413351</v>
          </cell>
          <cell r="G421">
            <v>0</v>
          </cell>
          <cell r="I421">
            <v>0</v>
          </cell>
          <cell r="Z421">
            <v>0</v>
          </cell>
          <cell r="AB421">
            <v>0</v>
          </cell>
          <cell r="AF421">
            <v>0</v>
          </cell>
        </row>
        <row r="422">
          <cell r="C422" t="str">
            <v>3413361</v>
          </cell>
          <cell r="G422">
            <v>0</v>
          </cell>
          <cell r="I422">
            <v>0</v>
          </cell>
          <cell r="Z422">
            <v>0</v>
          </cell>
          <cell r="AB422">
            <v>0</v>
          </cell>
          <cell r="AF422">
            <v>0</v>
          </cell>
        </row>
        <row r="423">
          <cell r="C423" t="str">
            <v>3413371</v>
          </cell>
          <cell r="G423">
            <v>10236.17</v>
          </cell>
          <cell r="I423">
            <v>19007695</v>
          </cell>
          <cell r="Z423">
            <v>8065</v>
          </cell>
          <cell r="AB423">
            <v>14995446</v>
          </cell>
          <cell r="AF423">
            <v>18151206</v>
          </cell>
        </row>
        <row r="424">
          <cell r="C424" t="str">
            <v>3414121</v>
          </cell>
          <cell r="G424">
            <v>1028</v>
          </cell>
          <cell r="I424">
            <v>3386513</v>
          </cell>
          <cell r="Z424">
            <v>996</v>
          </cell>
          <cell r="AB424">
            <v>3230524</v>
          </cell>
          <cell r="AF424">
            <v>3840000</v>
          </cell>
        </row>
        <row r="425">
          <cell r="C425" t="str">
            <v>3415114</v>
          </cell>
          <cell r="G425">
            <v>2749</v>
          </cell>
          <cell r="I425">
            <v>9328681</v>
          </cell>
          <cell r="Z425">
            <v>2052</v>
          </cell>
          <cell r="AB425">
            <v>6866630</v>
          </cell>
          <cell r="AF425">
            <v>9240000</v>
          </cell>
        </row>
        <row r="426">
          <cell r="C426" t="str">
            <v>3416022</v>
          </cell>
          <cell r="G426">
            <v>0</v>
          </cell>
          <cell r="I426">
            <v>0</v>
          </cell>
          <cell r="Z426">
            <v>0</v>
          </cell>
          <cell r="AB426">
            <v>0</v>
          </cell>
          <cell r="AF426">
            <v>0</v>
          </cell>
        </row>
        <row r="427">
          <cell r="C427" t="str">
            <v>3422050</v>
          </cell>
          <cell r="G427">
            <v>0</v>
          </cell>
          <cell r="I427">
            <v>0</v>
          </cell>
          <cell r="Z427">
            <v>0</v>
          </cell>
          <cell r="AB427">
            <v>0</v>
          </cell>
          <cell r="AF427">
            <v>0</v>
          </cell>
        </row>
        <row r="428">
          <cell r="C428" t="str">
            <v>3425010</v>
          </cell>
          <cell r="G428">
            <v>0</v>
          </cell>
          <cell r="I428">
            <v>0</v>
          </cell>
          <cell r="Z428">
            <v>0</v>
          </cell>
          <cell r="AB428">
            <v>0</v>
          </cell>
          <cell r="AF428">
            <v>0</v>
          </cell>
        </row>
        <row r="429">
          <cell r="C429" t="str">
            <v>3428001</v>
          </cell>
          <cell r="G429">
            <v>0</v>
          </cell>
          <cell r="I429">
            <v>0</v>
          </cell>
          <cell r="Z429">
            <v>0</v>
          </cell>
          <cell r="AB429">
            <v>0</v>
          </cell>
          <cell r="AF429">
            <v>0</v>
          </cell>
        </row>
        <row r="430">
          <cell r="C430" t="str">
            <v>3429001</v>
          </cell>
          <cell r="G430">
            <v>0</v>
          </cell>
          <cell r="I430">
            <v>0</v>
          </cell>
          <cell r="Z430">
            <v>0</v>
          </cell>
          <cell r="AB430">
            <v>0</v>
          </cell>
          <cell r="AF430">
            <v>0</v>
          </cell>
        </row>
        <row r="431">
          <cell r="C431" t="str">
            <v>3429003</v>
          </cell>
          <cell r="G431">
            <v>0</v>
          </cell>
          <cell r="I431">
            <v>0</v>
          </cell>
          <cell r="Z431">
            <v>0</v>
          </cell>
          <cell r="AB431">
            <v>0</v>
          </cell>
          <cell r="AF431">
            <v>0</v>
          </cell>
        </row>
        <row r="432">
          <cell r="C432" t="str">
            <v>3429005</v>
          </cell>
          <cell r="G432">
            <v>0</v>
          </cell>
          <cell r="I432">
            <v>0</v>
          </cell>
          <cell r="Z432">
            <v>0</v>
          </cell>
          <cell r="AB432">
            <v>0</v>
          </cell>
          <cell r="AF432">
            <v>0</v>
          </cell>
        </row>
        <row r="433">
          <cell r="C433" t="str">
            <v>3429009</v>
          </cell>
          <cell r="G433">
            <v>315.73</v>
          </cell>
          <cell r="I433">
            <v>745122</v>
          </cell>
          <cell r="Z433">
            <v>57.55</v>
          </cell>
          <cell r="AB433">
            <v>135818</v>
          </cell>
          <cell r="AF433">
            <v>0</v>
          </cell>
        </row>
        <row r="434">
          <cell r="C434" t="str">
            <v>3429011</v>
          </cell>
          <cell r="G434">
            <v>0</v>
          </cell>
          <cell r="I434">
            <v>0</v>
          </cell>
          <cell r="Z434">
            <v>0</v>
          </cell>
          <cell r="AB434">
            <v>0</v>
          </cell>
          <cell r="AF434">
            <v>0</v>
          </cell>
        </row>
        <row r="435">
          <cell r="C435" t="str">
            <v>3429013</v>
          </cell>
          <cell r="G435">
            <v>0</v>
          </cell>
          <cell r="I435">
            <v>0</v>
          </cell>
          <cell r="Z435">
            <v>0</v>
          </cell>
          <cell r="AB435">
            <v>0</v>
          </cell>
          <cell r="AF435">
            <v>0</v>
          </cell>
        </row>
        <row r="436">
          <cell r="C436" t="str">
            <v>3429015</v>
          </cell>
          <cell r="G436">
            <v>0</v>
          </cell>
          <cell r="I436">
            <v>0</v>
          </cell>
          <cell r="Z436">
            <v>0</v>
          </cell>
          <cell r="AB436">
            <v>0</v>
          </cell>
          <cell r="AF436">
            <v>0</v>
          </cell>
        </row>
        <row r="437">
          <cell r="C437" t="str">
            <v>3429017</v>
          </cell>
          <cell r="G437">
            <v>0</v>
          </cell>
          <cell r="I437">
            <v>0</v>
          </cell>
          <cell r="Z437">
            <v>0</v>
          </cell>
          <cell r="AB437">
            <v>0</v>
          </cell>
          <cell r="AF437">
            <v>0</v>
          </cell>
        </row>
        <row r="438">
          <cell r="C438" t="str">
            <v>3429018</v>
          </cell>
          <cell r="G438">
            <v>0</v>
          </cell>
          <cell r="I438">
            <v>0</v>
          </cell>
          <cell r="Z438">
            <v>0</v>
          </cell>
          <cell r="AB438">
            <v>0</v>
          </cell>
          <cell r="AF438">
            <v>0</v>
          </cell>
        </row>
        <row r="439">
          <cell r="C439" t="str">
            <v>3429020</v>
          </cell>
          <cell r="G439">
            <v>19.66</v>
          </cell>
          <cell r="I439">
            <v>786400</v>
          </cell>
          <cell r="Z439">
            <v>0.17</v>
          </cell>
          <cell r="AB439">
            <v>6800</v>
          </cell>
          <cell r="AF439">
            <v>0</v>
          </cell>
        </row>
        <row r="440">
          <cell r="C440" t="str">
            <v>3429022</v>
          </cell>
          <cell r="G440">
            <v>0</v>
          </cell>
          <cell r="I440">
            <v>0</v>
          </cell>
          <cell r="Z440">
            <v>0</v>
          </cell>
          <cell r="AB440">
            <v>0</v>
          </cell>
          <cell r="AF440">
            <v>0</v>
          </cell>
        </row>
        <row r="441">
          <cell r="C441" t="str">
            <v>3429023</v>
          </cell>
          <cell r="G441">
            <v>0</v>
          </cell>
          <cell r="I441">
            <v>0</v>
          </cell>
          <cell r="Z441">
            <v>0</v>
          </cell>
          <cell r="AB441">
            <v>0</v>
          </cell>
          <cell r="AF441">
            <v>0</v>
          </cell>
        </row>
        <row r="442">
          <cell r="C442" t="str">
            <v>3429024</v>
          </cell>
          <cell r="G442">
            <v>0</v>
          </cell>
          <cell r="I442">
            <v>0</v>
          </cell>
          <cell r="Z442">
            <v>0</v>
          </cell>
          <cell r="AB442">
            <v>0</v>
          </cell>
          <cell r="AF442">
            <v>0</v>
          </cell>
        </row>
        <row r="443">
          <cell r="C443" t="str">
            <v>3429025</v>
          </cell>
          <cell r="G443">
            <v>0</v>
          </cell>
          <cell r="I443">
            <v>0</v>
          </cell>
          <cell r="Z443">
            <v>0</v>
          </cell>
          <cell r="AB443">
            <v>0</v>
          </cell>
          <cell r="AF443">
            <v>0</v>
          </cell>
        </row>
        <row r="444">
          <cell r="C444" t="str">
            <v>3429101</v>
          </cell>
          <cell r="G444">
            <v>0</v>
          </cell>
          <cell r="I444">
            <v>0</v>
          </cell>
          <cell r="Z444">
            <v>0</v>
          </cell>
          <cell r="AB444">
            <v>0</v>
          </cell>
          <cell r="AF444">
            <v>0</v>
          </cell>
        </row>
        <row r="445">
          <cell r="C445" t="str">
            <v>3429106</v>
          </cell>
          <cell r="G445">
            <v>0</v>
          </cell>
          <cell r="I445">
            <v>0</v>
          </cell>
          <cell r="Z445">
            <v>558</v>
          </cell>
          <cell r="AB445">
            <v>6975000</v>
          </cell>
          <cell r="AF445">
            <v>10000000</v>
          </cell>
        </row>
        <row r="446">
          <cell r="C446" t="str">
            <v>3453002</v>
          </cell>
          <cell r="G446">
            <v>0</v>
          </cell>
          <cell r="I446">
            <v>0</v>
          </cell>
          <cell r="Z446">
            <v>0</v>
          </cell>
          <cell r="AB446">
            <v>0</v>
          </cell>
          <cell r="AF446">
            <v>0</v>
          </cell>
        </row>
        <row r="447">
          <cell r="C447" t="str">
            <v>3458010</v>
          </cell>
          <cell r="G447">
            <v>0</v>
          </cell>
          <cell r="I447">
            <v>0</v>
          </cell>
          <cell r="Z447">
            <v>0</v>
          </cell>
          <cell r="AB447">
            <v>0</v>
          </cell>
          <cell r="AF447">
            <v>0</v>
          </cell>
        </row>
        <row r="448">
          <cell r="C448" t="str">
            <v>3479050</v>
          </cell>
          <cell r="G448">
            <v>0</v>
          </cell>
          <cell r="I448">
            <v>0</v>
          </cell>
          <cell r="Z448">
            <v>0</v>
          </cell>
          <cell r="AB448">
            <v>0</v>
          </cell>
          <cell r="AF448">
            <v>0</v>
          </cell>
        </row>
        <row r="449">
          <cell r="C449" t="str">
            <v>3479068</v>
          </cell>
          <cell r="G449">
            <v>795</v>
          </cell>
          <cell r="I449">
            <v>1028859</v>
          </cell>
          <cell r="Z449">
            <v>0</v>
          </cell>
          <cell r="AB449">
            <v>0</v>
          </cell>
          <cell r="AF449">
            <v>0</v>
          </cell>
        </row>
        <row r="450">
          <cell r="C450" t="str">
            <v>3479069</v>
          </cell>
          <cell r="G450">
            <v>518</v>
          </cell>
          <cell r="I450">
            <v>1118880</v>
          </cell>
          <cell r="Z450">
            <v>0</v>
          </cell>
          <cell r="AB450">
            <v>0</v>
          </cell>
          <cell r="AF450">
            <v>0</v>
          </cell>
        </row>
        <row r="451">
          <cell r="C451" t="str">
            <v>3479070</v>
          </cell>
          <cell r="G451">
            <v>476.5</v>
          </cell>
          <cell r="I451">
            <v>159975</v>
          </cell>
          <cell r="Z451">
            <v>0</v>
          </cell>
          <cell r="AB451">
            <v>0</v>
          </cell>
          <cell r="AF451">
            <v>0</v>
          </cell>
        </row>
        <row r="452">
          <cell r="C452" t="str">
            <v>3479071</v>
          </cell>
          <cell r="G452">
            <v>0</v>
          </cell>
          <cell r="I452">
            <v>0</v>
          </cell>
          <cell r="Z452">
            <v>0</v>
          </cell>
          <cell r="AB452">
            <v>0</v>
          </cell>
          <cell r="AF452">
            <v>0</v>
          </cell>
        </row>
        <row r="453">
          <cell r="C453" t="str">
            <v>3499031</v>
          </cell>
          <cell r="G453">
            <v>0</v>
          </cell>
          <cell r="I453">
            <v>0</v>
          </cell>
          <cell r="Z453">
            <v>0</v>
          </cell>
          <cell r="AB453">
            <v>0</v>
          </cell>
          <cell r="AF453">
            <v>0</v>
          </cell>
        </row>
        <row r="454">
          <cell r="C454" t="str">
            <v>9999999</v>
          </cell>
          <cell r="G454">
            <v>0</v>
          </cell>
          <cell r="I454">
            <v>0</v>
          </cell>
          <cell r="Z454">
            <v>0</v>
          </cell>
          <cell r="AB454">
            <v>0</v>
          </cell>
          <cell r="AF454">
            <v>0</v>
          </cell>
        </row>
        <row r="455">
          <cell r="C455" t="str">
            <v>1409102</v>
          </cell>
          <cell r="G455">
            <v>0</v>
          </cell>
          <cell r="I455">
            <v>0</v>
          </cell>
          <cell r="Z455">
            <v>0</v>
          </cell>
          <cell r="AB455">
            <v>0</v>
          </cell>
          <cell r="AF455">
            <v>0</v>
          </cell>
        </row>
        <row r="456">
          <cell r="C456" t="str">
            <v>1213102</v>
          </cell>
          <cell r="G456">
            <v>12744</v>
          </cell>
          <cell r="I456">
            <v>25426946</v>
          </cell>
          <cell r="Z456">
            <v>10384</v>
          </cell>
          <cell r="AB456">
            <v>20599123</v>
          </cell>
          <cell r="AF456">
            <v>29347995</v>
          </cell>
        </row>
        <row r="457">
          <cell r="C457" t="str">
            <v>1213104</v>
          </cell>
          <cell r="G457">
            <v>3584</v>
          </cell>
          <cell r="I457">
            <v>6712438</v>
          </cell>
          <cell r="Z457">
            <v>0</v>
          </cell>
          <cell r="AB457">
            <v>0</v>
          </cell>
          <cell r="AF457">
            <v>0</v>
          </cell>
        </row>
        <row r="458">
          <cell r="C458" t="str">
            <v>1213105</v>
          </cell>
          <cell r="G458">
            <v>740</v>
          </cell>
          <cell r="I458">
            <v>1335541</v>
          </cell>
          <cell r="Z458">
            <v>0</v>
          </cell>
          <cell r="AB458">
            <v>0</v>
          </cell>
          <cell r="AF458">
            <v>0</v>
          </cell>
        </row>
        <row r="459">
          <cell r="C459" t="str">
            <v>1213201</v>
          </cell>
          <cell r="G459">
            <v>15092</v>
          </cell>
          <cell r="I459">
            <v>28058850</v>
          </cell>
          <cell r="Z459">
            <v>2010</v>
          </cell>
          <cell r="AB459">
            <v>3736753</v>
          </cell>
          <cell r="AF459">
            <v>91359</v>
          </cell>
        </row>
        <row r="460">
          <cell r="C460" t="str">
            <v>1213202</v>
          </cell>
          <cell r="G460">
            <v>20416</v>
          </cell>
          <cell r="I460">
            <v>37440114</v>
          </cell>
          <cell r="Z460">
            <v>25520</v>
          </cell>
          <cell r="AB460">
            <v>46771522</v>
          </cell>
          <cell r="AF460">
            <v>75024136</v>
          </cell>
        </row>
        <row r="461">
          <cell r="C461" t="str">
            <v>1213204</v>
          </cell>
          <cell r="G461">
            <v>0</v>
          </cell>
          <cell r="I461">
            <v>0</v>
          </cell>
          <cell r="Z461">
            <v>0</v>
          </cell>
          <cell r="AB461">
            <v>0</v>
          </cell>
          <cell r="AF461">
            <v>0</v>
          </cell>
        </row>
        <row r="462">
          <cell r="C462" t="str">
            <v>1213206</v>
          </cell>
          <cell r="G462">
            <v>0</v>
          </cell>
          <cell r="I462">
            <v>0</v>
          </cell>
          <cell r="Z462">
            <v>0</v>
          </cell>
          <cell r="AB462">
            <v>0</v>
          </cell>
          <cell r="AF462">
            <v>193117</v>
          </cell>
        </row>
        <row r="463">
          <cell r="C463" t="str">
            <v>1503101</v>
          </cell>
          <cell r="G463">
            <v>0</v>
          </cell>
          <cell r="I463">
            <v>0</v>
          </cell>
          <cell r="Z463">
            <v>0</v>
          </cell>
          <cell r="AB463">
            <v>0</v>
          </cell>
          <cell r="AF463">
            <v>0</v>
          </cell>
        </row>
      </sheetData>
      <sheetData sheetId="8">
        <row r="1">
          <cell r="C1" t="str">
            <v>품번</v>
          </cell>
          <cell r="G1" t="str">
            <v>기초수량</v>
          </cell>
          <cell r="I1" t="str">
            <v>기초금액</v>
          </cell>
          <cell r="Z1" t="str">
            <v>출고수량</v>
          </cell>
          <cell r="AB1" t="str">
            <v>출고금액</v>
          </cell>
          <cell r="AF1" t="str">
            <v>입고금액</v>
          </cell>
        </row>
        <row r="2">
          <cell r="C2" t="str">
            <v>3402004</v>
          </cell>
          <cell r="G2">
            <v>0</v>
          </cell>
          <cell r="I2">
            <v>0</v>
          </cell>
          <cell r="Z2">
            <v>0</v>
          </cell>
          <cell r="AB2">
            <v>0</v>
          </cell>
          <cell r="AF2">
            <v>0</v>
          </cell>
        </row>
        <row r="3">
          <cell r="C3" t="str">
            <v>3402013</v>
          </cell>
          <cell r="G3">
            <v>0</v>
          </cell>
          <cell r="I3">
            <v>0</v>
          </cell>
          <cell r="Z3">
            <v>0</v>
          </cell>
          <cell r="AB3">
            <v>0</v>
          </cell>
          <cell r="AF3">
            <v>0</v>
          </cell>
        </row>
        <row r="4">
          <cell r="C4" t="str">
            <v>3402014</v>
          </cell>
          <cell r="G4">
            <v>2507</v>
          </cell>
          <cell r="I4">
            <v>11101112</v>
          </cell>
          <cell r="Z4">
            <v>0</v>
          </cell>
          <cell r="AB4">
            <v>0</v>
          </cell>
          <cell r="AF4">
            <v>0</v>
          </cell>
        </row>
        <row r="5">
          <cell r="C5" t="str">
            <v>3402015</v>
          </cell>
          <cell r="G5">
            <v>180000</v>
          </cell>
          <cell r="I5">
            <v>708005664</v>
          </cell>
          <cell r="Z5">
            <v>80000</v>
          </cell>
          <cell r="AB5">
            <v>314669184</v>
          </cell>
          <cell r="AF5">
            <v>0</v>
          </cell>
        </row>
        <row r="6">
          <cell r="C6" t="str">
            <v>3402016</v>
          </cell>
          <cell r="G6">
            <v>0</v>
          </cell>
          <cell r="I6">
            <v>0</v>
          </cell>
          <cell r="Z6">
            <v>0</v>
          </cell>
          <cell r="AB6">
            <v>0</v>
          </cell>
          <cell r="AF6">
            <v>0</v>
          </cell>
        </row>
        <row r="7">
          <cell r="C7" t="str">
            <v>3402035</v>
          </cell>
          <cell r="G7">
            <v>0</v>
          </cell>
          <cell r="I7">
            <v>0</v>
          </cell>
          <cell r="Z7">
            <v>0</v>
          </cell>
          <cell r="AB7">
            <v>0</v>
          </cell>
          <cell r="AF7">
            <v>0</v>
          </cell>
        </row>
        <row r="8">
          <cell r="C8" t="str">
            <v>3402040</v>
          </cell>
          <cell r="G8">
            <v>0</v>
          </cell>
          <cell r="I8">
            <v>0</v>
          </cell>
          <cell r="Z8">
            <v>0</v>
          </cell>
          <cell r="AB8">
            <v>0</v>
          </cell>
          <cell r="AF8">
            <v>0</v>
          </cell>
        </row>
        <row r="9">
          <cell r="C9" t="str">
            <v>3402042</v>
          </cell>
          <cell r="G9">
            <v>0</v>
          </cell>
          <cell r="I9">
            <v>0</v>
          </cell>
          <cell r="Z9">
            <v>0</v>
          </cell>
          <cell r="AB9">
            <v>0</v>
          </cell>
          <cell r="AF9">
            <v>0</v>
          </cell>
        </row>
        <row r="10">
          <cell r="C10" t="str">
            <v>3402045</v>
          </cell>
          <cell r="G10">
            <v>0</v>
          </cell>
          <cell r="I10">
            <v>0</v>
          </cell>
          <cell r="Z10">
            <v>0</v>
          </cell>
          <cell r="AB10">
            <v>0</v>
          </cell>
          <cell r="AF10">
            <v>0</v>
          </cell>
        </row>
        <row r="11">
          <cell r="C11" t="str">
            <v>3402051</v>
          </cell>
          <cell r="G11">
            <v>0</v>
          </cell>
          <cell r="I11">
            <v>0</v>
          </cell>
          <cell r="Z11">
            <v>0</v>
          </cell>
          <cell r="AB11">
            <v>0</v>
          </cell>
          <cell r="AF11">
            <v>0</v>
          </cell>
        </row>
        <row r="12">
          <cell r="C12" t="str">
            <v>3402081</v>
          </cell>
          <cell r="G12">
            <v>0</v>
          </cell>
          <cell r="I12">
            <v>0</v>
          </cell>
          <cell r="Z12">
            <v>0</v>
          </cell>
          <cell r="AB12">
            <v>0</v>
          </cell>
          <cell r="AF12">
            <v>0</v>
          </cell>
        </row>
        <row r="13">
          <cell r="C13" t="str">
            <v>3402104</v>
          </cell>
          <cell r="G13">
            <v>7700</v>
          </cell>
          <cell r="I13">
            <v>32159246</v>
          </cell>
          <cell r="Z13">
            <v>0</v>
          </cell>
          <cell r="AB13">
            <v>0</v>
          </cell>
          <cell r="AF13">
            <v>0</v>
          </cell>
        </row>
        <row r="14">
          <cell r="C14" t="str">
            <v>3402105</v>
          </cell>
          <cell r="G14">
            <v>53142</v>
          </cell>
          <cell r="I14">
            <v>224290142</v>
          </cell>
          <cell r="Z14">
            <v>44725</v>
          </cell>
          <cell r="AB14">
            <v>176581993</v>
          </cell>
          <cell r="AF14">
            <v>336614809</v>
          </cell>
        </row>
        <row r="15">
          <cell r="C15" t="str">
            <v>3402106</v>
          </cell>
          <cell r="G15">
            <v>0</v>
          </cell>
          <cell r="I15">
            <v>0</v>
          </cell>
          <cell r="Z15">
            <v>0</v>
          </cell>
          <cell r="AB15">
            <v>0</v>
          </cell>
          <cell r="AF15">
            <v>0</v>
          </cell>
        </row>
        <row r="16">
          <cell r="C16" t="str">
            <v>3402107</v>
          </cell>
          <cell r="G16">
            <v>0</v>
          </cell>
          <cell r="I16">
            <v>0</v>
          </cell>
          <cell r="Z16">
            <v>0</v>
          </cell>
          <cell r="AB16">
            <v>0</v>
          </cell>
          <cell r="AF16">
            <v>0</v>
          </cell>
        </row>
        <row r="17">
          <cell r="C17" t="str">
            <v>3402108</v>
          </cell>
          <cell r="G17">
            <v>0</v>
          </cell>
          <cell r="I17">
            <v>0</v>
          </cell>
          <cell r="Z17">
            <v>0</v>
          </cell>
          <cell r="AB17">
            <v>0</v>
          </cell>
          <cell r="AF17">
            <v>0</v>
          </cell>
        </row>
        <row r="18">
          <cell r="C18" t="str">
            <v>3402201</v>
          </cell>
          <cell r="G18">
            <v>0</v>
          </cell>
          <cell r="I18">
            <v>0</v>
          </cell>
          <cell r="Z18">
            <v>0</v>
          </cell>
          <cell r="AB18">
            <v>0</v>
          </cell>
          <cell r="AF18">
            <v>0</v>
          </cell>
        </row>
        <row r="19">
          <cell r="C19" t="str">
            <v>3403301</v>
          </cell>
          <cell r="G19">
            <v>0</v>
          </cell>
          <cell r="I19">
            <v>0</v>
          </cell>
          <cell r="Z19">
            <v>0</v>
          </cell>
          <cell r="AB19">
            <v>0</v>
          </cell>
          <cell r="AF19">
            <v>0</v>
          </cell>
        </row>
        <row r="20">
          <cell r="C20" t="str">
            <v>3403303</v>
          </cell>
          <cell r="G20">
            <v>200254</v>
          </cell>
          <cell r="I20">
            <v>378016825</v>
          </cell>
          <cell r="Z20">
            <v>149625</v>
          </cell>
          <cell r="AB20">
            <v>279800294</v>
          </cell>
          <cell r="AF20">
            <v>152471443</v>
          </cell>
        </row>
        <row r="21">
          <cell r="C21" t="str">
            <v>3403304</v>
          </cell>
          <cell r="G21">
            <v>18300</v>
          </cell>
          <cell r="I21">
            <v>38419628</v>
          </cell>
          <cell r="Z21">
            <v>0</v>
          </cell>
          <cell r="AB21">
            <v>0</v>
          </cell>
          <cell r="AF21">
            <v>0</v>
          </cell>
        </row>
        <row r="22">
          <cell r="C22" t="str">
            <v>3403305</v>
          </cell>
          <cell r="G22">
            <v>1600</v>
          </cell>
          <cell r="I22">
            <v>3046967</v>
          </cell>
          <cell r="Z22">
            <v>0</v>
          </cell>
          <cell r="AB22">
            <v>0</v>
          </cell>
          <cell r="AF22">
            <v>0</v>
          </cell>
        </row>
        <row r="23">
          <cell r="C23" t="str">
            <v>3403306</v>
          </cell>
          <cell r="G23">
            <v>350</v>
          </cell>
          <cell r="I23">
            <v>596696</v>
          </cell>
          <cell r="Z23">
            <v>0</v>
          </cell>
          <cell r="AB23">
            <v>0</v>
          </cell>
          <cell r="AF23">
            <v>0</v>
          </cell>
        </row>
        <row r="24">
          <cell r="C24" t="str">
            <v>3403307</v>
          </cell>
          <cell r="G24">
            <v>185</v>
          </cell>
          <cell r="I24">
            <v>185</v>
          </cell>
          <cell r="Z24">
            <v>0</v>
          </cell>
          <cell r="AB24">
            <v>0</v>
          </cell>
          <cell r="AF24">
            <v>0</v>
          </cell>
        </row>
        <row r="25">
          <cell r="C25" t="str">
            <v>3403308</v>
          </cell>
          <cell r="G25">
            <v>0</v>
          </cell>
          <cell r="I25">
            <v>0</v>
          </cell>
          <cell r="Z25">
            <v>0</v>
          </cell>
          <cell r="AB25">
            <v>0</v>
          </cell>
          <cell r="AF25">
            <v>0</v>
          </cell>
        </row>
        <row r="26">
          <cell r="C26" t="str">
            <v>3403309</v>
          </cell>
          <cell r="G26">
            <v>7475</v>
          </cell>
          <cell r="I26">
            <v>13906036</v>
          </cell>
          <cell r="Z26">
            <v>0</v>
          </cell>
          <cell r="AB26">
            <v>0</v>
          </cell>
          <cell r="AF26">
            <v>0</v>
          </cell>
        </row>
        <row r="27">
          <cell r="C27" t="str">
            <v>3403311</v>
          </cell>
          <cell r="G27">
            <v>50</v>
          </cell>
          <cell r="I27">
            <v>129442</v>
          </cell>
          <cell r="Z27">
            <v>50</v>
          </cell>
          <cell r="AB27">
            <v>129442</v>
          </cell>
          <cell r="AF27">
            <v>0</v>
          </cell>
        </row>
        <row r="28">
          <cell r="C28" t="str">
            <v>3403313</v>
          </cell>
          <cell r="G28">
            <v>219801</v>
          </cell>
          <cell r="I28">
            <v>366602102</v>
          </cell>
          <cell r="Z28">
            <v>69655</v>
          </cell>
          <cell r="AB28">
            <v>115403242</v>
          </cell>
          <cell r="AF28">
            <v>74755033</v>
          </cell>
        </row>
        <row r="29">
          <cell r="C29" t="str">
            <v>3403314</v>
          </cell>
          <cell r="G29">
            <v>900</v>
          </cell>
          <cell r="I29">
            <v>1733804</v>
          </cell>
          <cell r="Z29">
            <v>0</v>
          </cell>
          <cell r="AB29">
            <v>0</v>
          </cell>
          <cell r="AF29">
            <v>0</v>
          </cell>
        </row>
        <row r="30">
          <cell r="C30" t="str">
            <v>3403315</v>
          </cell>
          <cell r="G30">
            <v>0</v>
          </cell>
          <cell r="I30">
            <v>0</v>
          </cell>
          <cell r="Z30">
            <v>0</v>
          </cell>
          <cell r="AB30">
            <v>0</v>
          </cell>
          <cell r="AF30">
            <v>0</v>
          </cell>
        </row>
        <row r="31">
          <cell r="C31" t="str">
            <v>3403317</v>
          </cell>
          <cell r="G31">
            <v>0</v>
          </cell>
          <cell r="I31">
            <v>0</v>
          </cell>
          <cell r="Z31">
            <v>0</v>
          </cell>
          <cell r="AB31">
            <v>0</v>
          </cell>
          <cell r="AF31">
            <v>0</v>
          </cell>
        </row>
        <row r="32">
          <cell r="C32" t="str">
            <v>3403319</v>
          </cell>
          <cell r="G32">
            <v>0</v>
          </cell>
          <cell r="I32">
            <v>0</v>
          </cell>
          <cell r="Z32">
            <v>0</v>
          </cell>
          <cell r="AB32">
            <v>0</v>
          </cell>
          <cell r="AF32">
            <v>0</v>
          </cell>
        </row>
        <row r="33">
          <cell r="C33" t="str">
            <v>3403321</v>
          </cell>
          <cell r="G33">
            <v>4800</v>
          </cell>
          <cell r="I33">
            <v>8739300</v>
          </cell>
          <cell r="Z33">
            <v>0</v>
          </cell>
          <cell r="AB33">
            <v>0</v>
          </cell>
          <cell r="AF33">
            <v>4007409</v>
          </cell>
        </row>
        <row r="34">
          <cell r="C34" t="str">
            <v>3403323</v>
          </cell>
          <cell r="G34">
            <v>4800</v>
          </cell>
          <cell r="I34">
            <v>7008000</v>
          </cell>
          <cell r="Z34">
            <v>0</v>
          </cell>
          <cell r="AB34">
            <v>0</v>
          </cell>
          <cell r="AF34">
            <v>0</v>
          </cell>
        </row>
        <row r="35">
          <cell r="C35" t="str">
            <v>3404301</v>
          </cell>
          <cell r="G35">
            <v>9017</v>
          </cell>
          <cell r="I35">
            <v>19259390</v>
          </cell>
          <cell r="Z35">
            <v>0</v>
          </cell>
          <cell r="AB35">
            <v>0</v>
          </cell>
          <cell r="AF35">
            <v>0</v>
          </cell>
        </row>
        <row r="36">
          <cell r="C36" t="str">
            <v>3404302</v>
          </cell>
          <cell r="G36">
            <v>0</v>
          </cell>
          <cell r="I36">
            <v>0</v>
          </cell>
          <cell r="Z36">
            <v>0</v>
          </cell>
          <cell r="AB36">
            <v>0</v>
          </cell>
          <cell r="AF36">
            <v>0</v>
          </cell>
        </row>
        <row r="37">
          <cell r="C37" t="str">
            <v>3404303</v>
          </cell>
          <cell r="G37">
            <v>120257</v>
          </cell>
          <cell r="I37">
            <v>264847556</v>
          </cell>
          <cell r="Z37">
            <v>8300</v>
          </cell>
          <cell r="AB37">
            <v>18279474</v>
          </cell>
          <cell r="AF37">
            <v>0</v>
          </cell>
        </row>
        <row r="38">
          <cell r="C38" t="str">
            <v>3404304</v>
          </cell>
          <cell r="G38">
            <v>16166</v>
          </cell>
          <cell r="I38">
            <v>33137131</v>
          </cell>
          <cell r="Z38">
            <v>0</v>
          </cell>
          <cell r="AB38">
            <v>0</v>
          </cell>
          <cell r="AF38">
            <v>0</v>
          </cell>
        </row>
        <row r="39">
          <cell r="C39" t="str">
            <v>3404305</v>
          </cell>
          <cell r="G39">
            <v>0</v>
          </cell>
          <cell r="I39">
            <v>0</v>
          </cell>
          <cell r="Z39">
            <v>0</v>
          </cell>
          <cell r="AB39">
            <v>0</v>
          </cell>
          <cell r="AF39">
            <v>0</v>
          </cell>
        </row>
        <row r="40">
          <cell r="C40" t="str">
            <v>3404401</v>
          </cell>
          <cell r="G40">
            <v>1700</v>
          </cell>
          <cell r="I40">
            <v>6646240</v>
          </cell>
          <cell r="Z40">
            <v>0</v>
          </cell>
          <cell r="AB40">
            <v>0</v>
          </cell>
          <cell r="AF40">
            <v>0</v>
          </cell>
        </row>
        <row r="41">
          <cell r="C41" t="str">
            <v>3404402</v>
          </cell>
          <cell r="G41">
            <v>1182</v>
          </cell>
          <cell r="I41">
            <v>6619200</v>
          </cell>
          <cell r="Z41">
            <v>0</v>
          </cell>
          <cell r="AB41">
            <v>0</v>
          </cell>
          <cell r="AF41">
            <v>0</v>
          </cell>
        </row>
        <row r="42">
          <cell r="C42" t="str">
            <v>3405100</v>
          </cell>
          <cell r="G42">
            <v>3313</v>
          </cell>
          <cell r="I42">
            <v>14582283</v>
          </cell>
          <cell r="Z42">
            <v>1750</v>
          </cell>
          <cell r="AB42">
            <v>7702685</v>
          </cell>
          <cell r="AF42">
            <v>0</v>
          </cell>
        </row>
        <row r="43">
          <cell r="C43" t="str">
            <v>3405101</v>
          </cell>
          <cell r="G43">
            <v>3577</v>
          </cell>
          <cell r="I43">
            <v>57971043</v>
          </cell>
          <cell r="Z43">
            <v>2100</v>
          </cell>
          <cell r="AB43">
            <v>34556785</v>
          </cell>
          <cell r="AF43">
            <v>60130882</v>
          </cell>
        </row>
        <row r="44">
          <cell r="C44" t="str">
            <v>3405102</v>
          </cell>
          <cell r="G44">
            <v>0</v>
          </cell>
          <cell r="I44">
            <v>0</v>
          </cell>
          <cell r="Z44">
            <v>0</v>
          </cell>
          <cell r="AB44">
            <v>0</v>
          </cell>
          <cell r="AF44">
            <v>0</v>
          </cell>
        </row>
        <row r="45">
          <cell r="C45" t="str">
            <v>3405103</v>
          </cell>
          <cell r="G45">
            <v>0</v>
          </cell>
          <cell r="I45">
            <v>0</v>
          </cell>
          <cell r="Z45">
            <v>0</v>
          </cell>
          <cell r="AB45">
            <v>0</v>
          </cell>
          <cell r="AF45">
            <v>0</v>
          </cell>
        </row>
        <row r="46">
          <cell r="C46" t="str">
            <v>3405104</v>
          </cell>
          <cell r="G46">
            <v>0</v>
          </cell>
          <cell r="I46">
            <v>0</v>
          </cell>
          <cell r="Z46">
            <v>0</v>
          </cell>
          <cell r="AB46">
            <v>0</v>
          </cell>
          <cell r="AF46">
            <v>0</v>
          </cell>
        </row>
        <row r="47">
          <cell r="C47" t="str">
            <v>3405105</v>
          </cell>
          <cell r="G47">
            <v>0</v>
          </cell>
          <cell r="I47">
            <v>0</v>
          </cell>
          <cell r="Z47">
            <v>0</v>
          </cell>
          <cell r="AB47">
            <v>0</v>
          </cell>
          <cell r="AF47">
            <v>0</v>
          </cell>
        </row>
        <row r="48">
          <cell r="C48" t="str">
            <v>3405111</v>
          </cell>
          <cell r="G48">
            <v>1663</v>
          </cell>
          <cell r="I48">
            <v>21134113</v>
          </cell>
          <cell r="Z48">
            <v>0</v>
          </cell>
          <cell r="AB48">
            <v>0</v>
          </cell>
          <cell r="AF48">
            <v>0</v>
          </cell>
        </row>
        <row r="49">
          <cell r="C49" t="str">
            <v>3405131</v>
          </cell>
          <cell r="G49">
            <v>0</v>
          </cell>
          <cell r="I49">
            <v>0</v>
          </cell>
          <cell r="Z49">
            <v>0</v>
          </cell>
          <cell r="AB49">
            <v>0</v>
          </cell>
          <cell r="AF49">
            <v>0</v>
          </cell>
        </row>
        <row r="50">
          <cell r="C50" t="str">
            <v>3405132</v>
          </cell>
          <cell r="G50">
            <v>3814</v>
          </cell>
          <cell r="I50">
            <v>36250382</v>
          </cell>
          <cell r="Z50">
            <v>3665</v>
          </cell>
          <cell r="AB50">
            <v>38913331</v>
          </cell>
          <cell r="AF50">
            <v>99272063</v>
          </cell>
        </row>
        <row r="51">
          <cell r="C51" t="str">
            <v>3405141</v>
          </cell>
          <cell r="G51">
            <v>8165</v>
          </cell>
          <cell r="I51">
            <v>39049493</v>
          </cell>
          <cell r="Z51">
            <v>1075</v>
          </cell>
          <cell r="AB51">
            <v>5188231</v>
          </cell>
          <cell r="AF51">
            <v>3315428</v>
          </cell>
        </row>
        <row r="52">
          <cell r="C52" t="str">
            <v>3405142</v>
          </cell>
          <cell r="G52">
            <v>0</v>
          </cell>
          <cell r="I52">
            <v>0</v>
          </cell>
          <cell r="Z52">
            <v>0</v>
          </cell>
          <cell r="AB52">
            <v>0</v>
          </cell>
          <cell r="AF52">
            <v>0</v>
          </cell>
        </row>
        <row r="53">
          <cell r="C53" t="str">
            <v>3406101</v>
          </cell>
          <cell r="G53">
            <v>117002</v>
          </cell>
          <cell r="I53">
            <v>351597304</v>
          </cell>
          <cell r="Z53">
            <v>7825</v>
          </cell>
          <cell r="AB53">
            <v>23514546</v>
          </cell>
          <cell r="AF53">
            <v>0</v>
          </cell>
        </row>
        <row r="54">
          <cell r="C54" t="str">
            <v>3406102</v>
          </cell>
          <cell r="G54">
            <v>15141</v>
          </cell>
          <cell r="I54">
            <v>37852500</v>
          </cell>
          <cell r="Z54">
            <v>0</v>
          </cell>
          <cell r="AB54">
            <v>0</v>
          </cell>
          <cell r="AF54">
            <v>0</v>
          </cell>
        </row>
        <row r="55">
          <cell r="C55" t="str">
            <v>3406103</v>
          </cell>
          <cell r="G55">
            <v>48321</v>
          </cell>
          <cell r="I55">
            <v>131099951</v>
          </cell>
          <cell r="Z55">
            <v>0</v>
          </cell>
          <cell r="AB55">
            <v>0</v>
          </cell>
          <cell r="AF55">
            <v>0</v>
          </cell>
        </row>
        <row r="56">
          <cell r="C56" t="str">
            <v>3406105</v>
          </cell>
          <cell r="G56">
            <v>44996</v>
          </cell>
          <cell r="I56">
            <v>121786488</v>
          </cell>
          <cell r="Z56">
            <v>7</v>
          </cell>
          <cell r="AB56">
            <v>18946</v>
          </cell>
          <cell r="AF56">
            <v>0</v>
          </cell>
        </row>
        <row r="57">
          <cell r="C57" t="str">
            <v>3406107</v>
          </cell>
          <cell r="G57">
            <v>6850</v>
          </cell>
          <cell r="I57">
            <v>16503596</v>
          </cell>
          <cell r="Z57">
            <v>0</v>
          </cell>
          <cell r="AB57">
            <v>0</v>
          </cell>
          <cell r="AF57">
            <v>0</v>
          </cell>
        </row>
        <row r="58">
          <cell r="C58" t="str">
            <v>3406108</v>
          </cell>
          <cell r="G58">
            <v>600</v>
          </cell>
          <cell r="I58">
            <v>1803032</v>
          </cell>
          <cell r="Z58">
            <v>0</v>
          </cell>
          <cell r="AB58">
            <v>0</v>
          </cell>
          <cell r="AF58">
            <v>0</v>
          </cell>
        </row>
        <row r="59">
          <cell r="C59" t="str">
            <v>3406109</v>
          </cell>
          <cell r="G59">
            <v>925</v>
          </cell>
          <cell r="I59">
            <v>2509622</v>
          </cell>
          <cell r="Z59">
            <v>0</v>
          </cell>
          <cell r="AB59">
            <v>0</v>
          </cell>
          <cell r="AF59">
            <v>0</v>
          </cell>
        </row>
        <row r="60">
          <cell r="C60" t="str">
            <v>3406121</v>
          </cell>
          <cell r="G60">
            <v>150</v>
          </cell>
          <cell r="I60">
            <v>393549</v>
          </cell>
          <cell r="Z60">
            <v>0</v>
          </cell>
          <cell r="AB60">
            <v>0</v>
          </cell>
          <cell r="AF60">
            <v>0</v>
          </cell>
        </row>
        <row r="61">
          <cell r="C61" t="str">
            <v>3406122</v>
          </cell>
          <cell r="G61">
            <v>1902</v>
          </cell>
          <cell r="I61">
            <v>1902</v>
          </cell>
          <cell r="Z61">
            <v>0</v>
          </cell>
          <cell r="AB61">
            <v>0</v>
          </cell>
          <cell r="AF61">
            <v>0</v>
          </cell>
        </row>
        <row r="62">
          <cell r="C62" t="str">
            <v>3407001</v>
          </cell>
          <cell r="G62">
            <v>187</v>
          </cell>
          <cell r="I62">
            <v>1047200</v>
          </cell>
          <cell r="Z62">
            <v>0</v>
          </cell>
          <cell r="AB62">
            <v>0</v>
          </cell>
          <cell r="AF62">
            <v>0</v>
          </cell>
        </row>
        <row r="63">
          <cell r="C63" t="str">
            <v>3407002</v>
          </cell>
          <cell r="G63">
            <v>387</v>
          </cell>
          <cell r="I63">
            <v>2244331</v>
          </cell>
          <cell r="Z63">
            <v>199</v>
          </cell>
          <cell r="AB63">
            <v>1154062</v>
          </cell>
          <cell r="AF63">
            <v>0</v>
          </cell>
        </row>
        <row r="64">
          <cell r="C64" t="str">
            <v>3407003</v>
          </cell>
          <cell r="G64">
            <v>198</v>
          </cell>
          <cell r="I64">
            <v>2079000</v>
          </cell>
          <cell r="Z64">
            <v>0</v>
          </cell>
          <cell r="AB64">
            <v>0</v>
          </cell>
          <cell r="AF64">
            <v>0</v>
          </cell>
        </row>
        <row r="65">
          <cell r="C65" t="str">
            <v>3407005</v>
          </cell>
          <cell r="G65">
            <v>147</v>
          </cell>
          <cell r="I65">
            <v>713697</v>
          </cell>
          <cell r="Z65">
            <v>0</v>
          </cell>
          <cell r="AB65">
            <v>0</v>
          </cell>
          <cell r="AF65">
            <v>0</v>
          </cell>
        </row>
        <row r="66">
          <cell r="C66" t="str">
            <v>3407023</v>
          </cell>
          <cell r="G66">
            <v>380.16</v>
          </cell>
          <cell r="I66">
            <v>2204928</v>
          </cell>
          <cell r="Z66">
            <v>0</v>
          </cell>
          <cell r="AB66">
            <v>0</v>
          </cell>
          <cell r="AF66">
            <v>0</v>
          </cell>
        </row>
        <row r="67">
          <cell r="C67" t="str">
            <v>3407103</v>
          </cell>
          <cell r="G67">
            <v>22608.1</v>
          </cell>
          <cell r="I67">
            <v>55247488</v>
          </cell>
          <cell r="Z67">
            <v>8488</v>
          </cell>
          <cell r="AB67">
            <v>20211907</v>
          </cell>
          <cell r="AF67">
            <v>22400000</v>
          </cell>
        </row>
        <row r="68">
          <cell r="C68" t="str">
            <v>3407109</v>
          </cell>
          <cell r="G68">
            <v>0</v>
          </cell>
          <cell r="I68">
            <v>0</v>
          </cell>
          <cell r="Z68">
            <v>4</v>
          </cell>
          <cell r="AB68">
            <v>11200</v>
          </cell>
          <cell r="AF68">
            <v>140000</v>
          </cell>
        </row>
        <row r="69">
          <cell r="C69" t="str">
            <v>3407114</v>
          </cell>
          <cell r="G69">
            <v>0</v>
          </cell>
          <cell r="I69">
            <v>0</v>
          </cell>
          <cell r="Z69">
            <v>0</v>
          </cell>
          <cell r="AB69">
            <v>0</v>
          </cell>
          <cell r="AF69">
            <v>0</v>
          </cell>
        </row>
        <row r="70">
          <cell r="C70" t="str">
            <v>3407115</v>
          </cell>
          <cell r="G70">
            <v>0</v>
          </cell>
          <cell r="I70">
            <v>0</v>
          </cell>
          <cell r="Z70">
            <v>0</v>
          </cell>
          <cell r="AB70">
            <v>0</v>
          </cell>
          <cell r="AF70">
            <v>0</v>
          </cell>
        </row>
        <row r="71">
          <cell r="C71" t="str">
            <v>3408133</v>
          </cell>
          <cell r="G71">
            <v>0</v>
          </cell>
          <cell r="I71">
            <v>0</v>
          </cell>
          <cell r="Z71">
            <v>0</v>
          </cell>
          <cell r="AB71">
            <v>0</v>
          </cell>
          <cell r="AF71">
            <v>0</v>
          </cell>
        </row>
        <row r="72">
          <cell r="C72" t="str">
            <v>3408160</v>
          </cell>
          <cell r="G72">
            <v>0</v>
          </cell>
          <cell r="I72">
            <v>0</v>
          </cell>
          <cell r="Z72">
            <v>0</v>
          </cell>
          <cell r="AB72">
            <v>0</v>
          </cell>
          <cell r="AF72">
            <v>0</v>
          </cell>
        </row>
        <row r="73">
          <cell r="C73" t="str">
            <v>3408161</v>
          </cell>
          <cell r="G73">
            <v>176</v>
          </cell>
          <cell r="I73">
            <v>1520605</v>
          </cell>
          <cell r="Z73">
            <v>50</v>
          </cell>
          <cell r="AB73">
            <v>431990</v>
          </cell>
          <cell r="AF73">
            <v>0</v>
          </cell>
        </row>
        <row r="74">
          <cell r="C74" t="str">
            <v>3408162</v>
          </cell>
          <cell r="G74">
            <v>0</v>
          </cell>
          <cell r="I74">
            <v>0</v>
          </cell>
          <cell r="Z74">
            <v>0</v>
          </cell>
          <cell r="AB74">
            <v>0</v>
          </cell>
          <cell r="AF74">
            <v>0</v>
          </cell>
        </row>
        <row r="75">
          <cell r="C75" t="str">
            <v>3409001</v>
          </cell>
          <cell r="G75">
            <v>0</v>
          </cell>
          <cell r="I75">
            <v>0</v>
          </cell>
          <cell r="Z75">
            <v>0</v>
          </cell>
          <cell r="AB75">
            <v>0</v>
          </cell>
          <cell r="AF75">
            <v>0</v>
          </cell>
        </row>
        <row r="76">
          <cell r="C76" t="str">
            <v>3409003</v>
          </cell>
          <cell r="G76">
            <v>3250</v>
          </cell>
          <cell r="I76">
            <v>10400000</v>
          </cell>
          <cell r="Z76">
            <v>0</v>
          </cell>
          <cell r="AB76">
            <v>0</v>
          </cell>
          <cell r="AF76">
            <v>0</v>
          </cell>
        </row>
        <row r="77">
          <cell r="C77" t="str">
            <v>3409005</v>
          </cell>
          <cell r="G77">
            <v>0</v>
          </cell>
          <cell r="I77">
            <v>0</v>
          </cell>
          <cell r="Z77">
            <v>0</v>
          </cell>
          <cell r="AB77">
            <v>0</v>
          </cell>
          <cell r="AF77">
            <v>0</v>
          </cell>
        </row>
        <row r="78">
          <cell r="C78" t="str">
            <v>3409101</v>
          </cell>
          <cell r="G78">
            <v>0</v>
          </cell>
          <cell r="I78">
            <v>0</v>
          </cell>
          <cell r="Z78">
            <v>0</v>
          </cell>
          <cell r="AB78">
            <v>0</v>
          </cell>
          <cell r="AF78">
            <v>0</v>
          </cell>
        </row>
        <row r="79">
          <cell r="C79" t="str">
            <v>3409102</v>
          </cell>
          <cell r="G79">
            <v>0</v>
          </cell>
          <cell r="I79">
            <v>0</v>
          </cell>
          <cell r="Z79">
            <v>0</v>
          </cell>
          <cell r="AB79">
            <v>0</v>
          </cell>
          <cell r="AF79">
            <v>0</v>
          </cell>
        </row>
        <row r="80">
          <cell r="C80" t="str">
            <v>3409105</v>
          </cell>
          <cell r="G80">
            <v>0</v>
          </cell>
          <cell r="I80">
            <v>0</v>
          </cell>
          <cell r="Z80">
            <v>0</v>
          </cell>
          <cell r="AB80">
            <v>0</v>
          </cell>
          <cell r="AF80">
            <v>0</v>
          </cell>
        </row>
        <row r="81">
          <cell r="C81" t="str">
            <v>3409107</v>
          </cell>
          <cell r="G81">
            <v>0</v>
          </cell>
          <cell r="I81">
            <v>0</v>
          </cell>
          <cell r="Z81">
            <v>0</v>
          </cell>
          <cell r="AB81">
            <v>0</v>
          </cell>
          <cell r="AF81">
            <v>0</v>
          </cell>
        </row>
        <row r="82">
          <cell r="C82" t="str">
            <v>3409109</v>
          </cell>
          <cell r="G82">
            <v>75</v>
          </cell>
          <cell r="I82">
            <v>262500</v>
          </cell>
          <cell r="Z82">
            <v>0</v>
          </cell>
          <cell r="AB82">
            <v>0</v>
          </cell>
          <cell r="AF82">
            <v>0</v>
          </cell>
        </row>
        <row r="83">
          <cell r="C83" t="str">
            <v>3409225</v>
          </cell>
          <cell r="G83">
            <v>21168</v>
          </cell>
          <cell r="I83">
            <v>104587248</v>
          </cell>
          <cell r="Z83">
            <v>0</v>
          </cell>
          <cell r="AB83">
            <v>0</v>
          </cell>
          <cell r="AF83">
            <v>0</v>
          </cell>
        </row>
        <row r="84">
          <cell r="C84" t="str">
            <v>3409301</v>
          </cell>
          <cell r="G84">
            <v>0</v>
          </cell>
          <cell r="I84">
            <v>0</v>
          </cell>
          <cell r="Z84">
            <v>0</v>
          </cell>
          <cell r="AB84">
            <v>0</v>
          </cell>
          <cell r="AF84">
            <v>0</v>
          </cell>
        </row>
        <row r="85">
          <cell r="C85" t="str">
            <v>3409401</v>
          </cell>
          <cell r="G85">
            <v>0</v>
          </cell>
          <cell r="I85">
            <v>0</v>
          </cell>
          <cell r="Z85">
            <v>0</v>
          </cell>
          <cell r="AB85">
            <v>0</v>
          </cell>
          <cell r="AF85">
            <v>0</v>
          </cell>
        </row>
        <row r="86">
          <cell r="C86" t="str">
            <v>3409402</v>
          </cell>
          <cell r="G86">
            <v>5784.85</v>
          </cell>
          <cell r="I86">
            <v>23287571</v>
          </cell>
          <cell r="Z86">
            <v>5784.85</v>
          </cell>
          <cell r="AB86">
            <v>23287571</v>
          </cell>
          <cell r="AF86">
            <v>0</v>
          </cell>
        </row>
        <row r="87">
          <cell r="C87" t="str">
            <v>3409403</v>
          </cell>
          <cell r="G87">
            <v>42875</v>
          </cell>
          <cell r="I87">
            <v>154898479</v>
          </cell>
          <cell r="Z87">
            <v>35330</v>
          </cell>
          <cell r="AB87">
            <v>126372378</v>
          </cell>
          <cell r="AF87">
            <v>70000000</v>
          </cell>
        </row>
        <row r="88">
          <cell r="C88" t="str">
            <v>3409404</v>
          </cell>
          <cell r="G88">
            <v>2275</v>
          </cell>
          <cell r="I88">
            <v>8303750</v>
          </cell>
          <cell r="Z88">
            <v>0</v>
          </cell>
          <cell r="AB88">
            <v>0</v>
          </cell>
          <cell r="AF88">
            <v>0</v>
          </cell>
        </row>
        <row r="89">
          <cell r="C89" t="str">
            <v>3410000</v>
          </cell>
          <cell r="G89">
            <v>1085</v>
          </cell>
          <cell r="I89">
            <v>1844020</v>
          </cell>
          <cell r="Z89">
            <v>0</v>
          </cell>
          <cell r="AB89">
            <v>0</v>
          </cell>
          <cell r="AF89">
            <v>0</v>
          </cell>
        </row>
        <row r="90">
          <cell r="C90" t="str">
            <v>3410101</v>
          </cell>
          <cell r="G90">
            <v>152</v>
          </cell>
          <cell r="I90">
            <v>161233</v>
          </cell>
          <cell r="Z90">
            <v>0</v>
          </cell>
          <cell r="AB90">
            <v>0</v>
          </cell>
          <cell r="AF90">
            <v>0</v>
          </cell>
        </row>
        <row r="91">
          <cell r="C91" t="str">
            <v>3410141</v>
          </cell>
          <cell r="G91">
            <v>0</v>
          </cell>
          <cell r="I91">
            <v>0</v>
          </cell>
          <cell r="Z91">
            <v>0</v>
          </cell>
          <cell r="AB91">
            <v>0</v>
          </cell>
          <cell r="AF91">
            <v>0</v>
          </cell>
        </row>
        <row r="92">
          <cell r="C92" t="str">
            <v>3410195</v>
          </cell>
          <cell r="G92">
            <v>0</v>
          </cell>
          <cell r="I92">
            <v>0</v>
          </cell>
          <cell r="Z92">
            <v>0</v>
          </cell>
          <cell r="AB92">
            <v>0</v>
          </cell>
          <cell r="AF92">
            <v>0</v>
          </cell>
        </row>
        <row r="93">
          <cell r="C93" t="str">
            <v>3410201</v>
          </cell>
          <cell r="G93">
            <v>0</v>
          </cell>
          <cell r="I93">
            <v>0</v>
          </cell>
          <cell r="Z93">
            <v>0</v>
          </cell>
          <cell r="AB93">
            <v>0</v>
          </cell>
          <cell r="AF93">
            <v>0</v>
          </cell>
        </row>
        <row r="94">
          <cell r="C94" t="str">
            <v>3410211</v>
          </cell>
          <cell r="G94">
            <v>2276.5</v>
          </cell>
          <cell r="I94">
            <v>4560807</v>
          </cell>
          <cell r="Z94">
            <v>268</v>
          </cell>
          <cell r="AB94">
            <v>536919</v>
          </cell>
          <cell r="AF94">
            <v>0</v>
          </cell>
        </row>
        <row r="95">
          <cell r="C95" t="str">
            <v>3410221</v>
          </cell>
          <cell r="G95">
            <v>125</v>
          </cell>
          <cell r="I95">
            <v>167484</v>
          </cell>
          <cell r="Z95">
            <v>0</v>
          </cell>
          <cell r="AB95">
            <v>0</v>
          </cell>
          <cell r="AF95">
            <v>0</v>
          </cell>
        </row>
        <row r="96">
          <cell r="C96" t="str">
            <v>3410240</v>
          </cell>
          <cell r="G96">
            <v>0</v>
          </cell>
          <cell r="I96">
            <v>0</v>
          </cell>
          <cell r="Z96">
            <v>0</v>
          </cell>
          <cell r="AB96">
            <v>0</v>
          </cell>
          <cell r="AF96">
            <v>0</v>
          </cell>
        </row>
        <row r="97">
          <cell r="C97" t="str">
            <v>3410241</v>
          </cell>
          <cell r="G97">
            <v>0</v>
          </cell>
          <cell r="I97">
            <v>0</v>
          </cell>
          <cell r="Z97">
            <v>0</v>
          </cell>
          <cell r="AB97">
            <v>0</v>
          </cell>
          <cell r="AF97">
            <v>0</v>
          </cell>
        </row>
        <row r="98">
          <cell r="C98" t="str">
            <v>3410245</v>
          </cell>
          <cell r="G98">
            <v>60</v>
          </cell>
          <cell r="I98">
            <v>300000</v>
          </cell>
          <cell r="Z98">
            <v>0</v>
          </cell>
          <cell r="AB98">
            <v>0</v>
          </cell>
          <cell r="AF98">
            <v>0</v>
          </cell>
        </row>
        <row r="99">
          <cell r="C99" t="str">
            <v>3410246</v>
          </cell>
          <cell r="G99">
            <v>120</v>
          </cell>
          <cell r="I99">
            <v>612000</v>
          </cell>
          <cell r="Z99">
            <v>0</v>
          </cell>
          <cell r="AB99">
            <v>0</v>
          </cell>
          <cell r="AF99">
            <v>0</v>
          </cell>
        </row>
        <row r="100">
          <cell r="C100" t="str">
            <v>3411101</v>
          </cell>
          <cell r="G100">
            <v>0</v>
          </cell>
          <cell r="I100">
            <v>0</v>
          </cell>
          <cell r="Z100">
            <v>0</v>
          </cell>
          <cell r="AB100">
            <v>0</v>
          </cell>
          <cell r="AF100">
            <v>0</v>
          </cell>
        </row>
        <row r="101">
          <cell r="C101" t="str">
            <v>3411102</v>
          </cell>
          <cell r="G101">
            <v>0</v>
          </cell>
          <cell r="I101">
            <v>0</v>
          </cell>
          <cell r="Z101">
            <v>0</v>
          </cell>
          <cell r="AB101">
            <v>0</v>
          </cell>
          <cell r="AF101">
            <v>0</v>
          </cell>
        </row>
        <row r="102">
          <cell r="C102" t="str">
            <v>3411201</v>
          </cell>
          <cell r="G102">
            <v>0</v>
          </cell>
          <cell r="I102">
            <v>0</v>
          </cell>
          <cell r="Z102">
            <v>0</v>
          </cell>
          <cell r="AB102">
            <v>0</v>
          </cell>
          <cell r="AF102">
            <v>0</v>
          </cell>
        </row>
        <row r="103">
          <cell r="C103" t="str">
            <v>3412101</v>
          </cell>
          <cell r="G103">
            <v>28656.959999999999</v>
          </cell>
          <cell r="I103">
            <v>55677852</v>
          </cell>
          <cell r="Z103">
            <v>16369</v>
          </cell>
          <cell r="AB103">
            <v>31621777</v>
          </cell>
          <cell r="AF103">
            <v>19000000</v>
          </cell>
        </row>
        <row r="104">
          <cell r="C104" t="str">
            <v>3412103</v>
          </cell>
          <cell r="G104">
            <v>0</v>
          </cell>
          <cell r="I104">
            <v>0</v>
          </cell>
          <cell r="Z104">
            <v>0</v>
          </cell>
          <cell r="AB104">
            <v>0</v>
          </cell>
          <cell r="AF104">
            <v>0</v>
          </cell>
        </row>
        <row r="105">
          <cell r="C105" t="str">
            <v>3412105</v>
          </cell>
          <cell r="G105">
            <v>0</v>
          </cell>
          <cell r="I105">
            <v>0</v>
          </cell>
          <cell r="Z105">
            <v>0</v>
          </cell>
          <cell r="AB105">
            <v>0</v>
          </cell>
          <cell r="AF105">
            <v>0</v>
          </cell>
        </row>
        <row r="106">
          <cell r="C106" t="str">
            <v>3412201</v>
          </cell>
          <cell r="G106">
            <v>0</v>
          </cell>
          <cell r="I106">
            <v>0</v>
          </cell>
          <cell r="Z106">
            <v>0</v>
          </cell>
          <cell r="AB106">
            <v>0</v>
          </cell>
          <cell r="AF106">
            <v>0</v>
          </cell>
        </row>
        <row r="107">
          <cell r="C107" t="str">
            <v>3412205</v>
          </cell>
          <cell r="G107">
            <v>100</v>
          </cell>
          <cell r="I107">
            <v>170573</v>
          </cell>
          <cell r="Z107">
            <v>0</v>
          </cell>
          <cell r="AB107">
            <v>0</v>
          </cell>
          <cell r="AF107">
            <v>0</v>
          </cell>
        </row>
        <row r="108">
          <cell r="C108" t="str">
            <v>3412207</v>
          </cell>
          <cell r="G108">
            <v>482.7</v>
          </cell>
          <cell r="I108">
            <v>791628</v>
          </cell>
          <cell r="Z108">
            <v>25</v>
          </cell>
          <cell r="AB108">
            <v>41000</v>
          </cell>
          <cell r="AF108">
            <v>0</v>
          </cell>
        </row>
        <row r="109">
          <cell r="C109" t="str">
            <v>3412701</v>
          </cell>
          <cell r="G109">
            <v>0</v>
          </cell>
          <cell r="I109">
            <v>0</v>
          </cell>
          <cell r="Z109">
            <v>0</v>
          </cell>
          <cell r="AB109">
            <v>0</v>
          </cell>
          <cell r="AF109">
            <v>0</v>
          </cell>
        </row>
        <row r="110">
          <cell r="C110" t="str">
            <v>3412851</v>
          </cell>
          <cell r="G110">
            <v>0</v>
          </cell>
          <cell r="I110">
            <v>0</v>
          </cell>
          <cell r="Z110">
            <v>0</v>
          </cell>
          <cell r="AB110">
            <v>0</v>
          </cell>
          <cell r="AF110">
            <v>0</v>
          </cell>
        </row>
        <row r="111">
          <cell r="C111" t="str">
            <v>3413002</v>
          </cell>
          <cell r="G111">
            <v>24348.1</v>
          </cell>
          <cell r="I111">
            <v>44797601</v>
          </cell>
          <cell r="Z111">
            <v>17657</v>
          </cell>
          <cell r="AB111">
            <v>32649693</v>
          </cell>
          <cell r="AF111">
            <v>38362500</v>
          </cell>
        </row>
        <row r="112">
          <cell r="C112" t="str">
            <v>3413003</v>
          </cell>
          <cell r="G112">
            <v>912</v>
          </cell>
          <cell r="I112">
            <v>1604892</v>
          </cell>
          <cell r="Z112">
            <v>0</v>
          </cell>
          <cell r="AB112">
            <v>0</v>
          </cell>
          <cell r="AF112">
            <v>0</v>
          </cell>
        </row>
        <row r="113">
          <cell r="C113" t="str">
            <v>3413005</v>
          </cell>
          <cell r="G113">
            <v>0</v>
          </cell>
          <cell r="I113">
            <v>0</v>
          </cell>
          <cell r="Z113">
            <v>0</v>
          </cell>
          <cell r="AB113">
            <v>0</v>
          </cell>
          <cell r="AF113">
            <v>0</v>
          </cell>
        </row>
        <row r="114">
          <cell r="C114" t="str">
            <v>3413007</v>
          </cell>
          <cell r="G114">
            <v>0</v>
          </cell>
          <cell r="I114">
            <v>0</v>
          </cell>
          <cell r="Z114">
            <v>0</v>
          </cell>
          <cell r="AB114">
            <v>0</v>
          </cell>
          <cell r="AF114">
            <v>0</v>
          </cell>
        </row>
        <row r="115">
          <cell r="C115" t="str">
            <v>3413008</v>
          </cell>
          <cell r="G115">
            <v>0</v>
          </cell>
          <cell r="I115">
            <v>0</v>
          </cell>
          <cell r="Z115">
            <v>3447</v>
          </cell>
          <cell r="AB115">
            <v>7059577</v>
          </cell>
          <cell r="AF115">
            <v>7059577</v>
          </cell>
        </row>
        <row r="116">
          <cell r="C116" t="str">
            <v>3413009</v>
          </cell>
          <cell r="G116">
            <v>142.5</v>
          </cell>
          <cell r="I116">
            <v>247594</v>
          </cell>
          <cell r="Z116">
            <v>0</v>
          </cell>
          <cell r="AB116">
            <v>0</v>
          </cell>
          <cell r="AF116">
            <v>0</v>
          </cell>
        </row>
        <row r="117">
          <cell r="C117" t="str">
            <v>3413021</v>
          </cell>
          <cell r="G117">
            <v>13859.5</v>
          </cell>
          <cell r="I117">
            <v>24446211</v>
          </cell>
          <cell r="Z117">
            <v>6</v>
          </cell>
          <cell r="AB117">
            <v>10583</v>
          </cell>
          <cell r="AF117">
            <v>0</v>
          </cell>
        </row>
        <row r="118">
          <cell r="C118" t="str">
            <v>3413022</v>
          </cell>
          <cell r="G118">
            <v>6401</v>
          </cell>
          <cell r="I118">
            <v>12159287</v>
          </cell>
          <cell r="Z118">
            <v>0</v>
          </cell>
          <cell r="AB118">
            <v>0</v>
          </cell>
          <cell r="AF118">
            <v>0</v>
          </cell>
        </row>
        <row r="119">
          <cell r="C119" t="str">
            <v>3413101</v>
          </cell>
          <cell r="G119">
            <v>5191</v>
          </cell>
          <cell r="I119">
            <v>25735749</v>
          </cell>
          <cell r="Z119">
            <v>0</v>
          </cell>
          <cell r="AB119">
            <v>0</v>
          </cell>
          <cell r="AF119">
            <v>0</v>
          </cell>
        </row>
        <row r="120">
          <cell r="C120" t="str">
            <v>3413107</v>
          </cell>
          <cell r="G120">
            <v>0</v>
          </cell>
          <cell r="I120">
            <v>0</v>
          </cell>
          <cell r="Z120">
            <v>0</v>
          </cell>
          <cell r="AB120">
            <v>0</v>
          </cell>
          <cell r="AF120">
            <v>0</v>
          </cell>
        </row>
        <row r="121">
          <cell r="C121" t="str">
            <v>3413121</v>
          </cell>
          <cell r="G121">
            <v>0</v>
          </cell>
          <cell r="I121">
            <v>0</v>
          </cell>
          <cell r="Z121">
            <v>0</v>
          </cell>
          <cell r="AB121">
            <v>0</v>
          </cell>
          <cell r="AF121">
            <v>0</v>
          </cell>
        </row>
        <row r="122">
          <cell r="C122" t="str">
            <v>3413151</v>
          </cell>
          <cell r="G122">
            <v>0</v>
          </cell>
          <cell r="I122">
            <v>0</v>
          </cell>
          <cell r="Z122">
            <v>0</v>
          </cell>
          <cell r="AB122">
            <v>0</v>
          </cell>
          <cell r="AF122">
            <v>0</v>
          </cell>
        </row>
        <row r="123">
          <cell r="C123" t="str">
            <v>3413201</v>
          </cell>
          <cell r="G123">
            <v>0</v>
          </cell>
          <cell r="I123">
            <v>0</v>
          </cell>
          <cell r="Z123">
            <v>0</v>
          </cell>
          <cell r="AB123">
            <v>0</v>
          </cell>
          <cell r="AF123">
            <v>0</v>
          </cell>
        </row>
        <row r="124">
          <cell r="C124" t="str">
            <v>3413221</v>
          </cell>
          <cell r="G124">
            <v>0</v>
          </cell>
          <cell r="I124">
            <v>0</v>
          </cell>
          <cell r="Z124">
            <v>0</v>
          </cell>
          <cell r="AB124">
            <v>0</v>
          </cell>
          <cell r="AF124">
            <v>0</v>
          </cell>
        </row>
        <row r="125">
          <cell r="C125" t="str">
            <v>3413301</v>
          </cell>
          <cell r="G125">
            <v>0</v>
          </cell>
          <cell r="I125">
            <v>0</v>
          </cell>
          <cell r="Z125">
            <v>0</v>
          </cell>
          <cell r="AB125">
            <v>0</v>
          </cell>
          <cell r="AF125">
            <v>0</v>
          </cell>
        </row>
        <row r="126">
          <cell r="C126" t="str">
            <v>3413303</v>
          </cell>
          <cell r="G126">
            <v>0</v>
          </cell>
          <cell r="I126">
            <v>0</v>
          </cell>
          <cell r="Z126">
            <v>0</v>
          </cell>
          <cell r="AB126">
            <v>0</v>
          </cell>
          <cell r="AF126">
            <v>0</v>
          </cell>
        </row>
        <row r="127">
          <cell r="C127" t="str">
            <v>3413305</v>
          </cell>
          <cell r="G127">
            <v>4135</v>
          </cell>
          <cell r="I127">
            <v>3302352</v>
          </cell>
          <cell r="Z127">
            <v>0</v>
          </cell>
          <cell r="AB127">
            <v>0</v>
          </cell>
          <cell r="AF127">
            <v>0</v>
          </cell>
        </row>
        <row r="128">
          <cell r="C128" t="str">
            <v>3413306</v>
          </cell>
          <cell r="G128">
            <v>0</v>
          </cell>
          <cell r="I128">
            <v>0</v>
          </cell>
          <cell r="Z128">
            <v>0</v>
          </cell>
          <cell r="AB128">
            <v>0</v>
          </cell>
          <cell r="AF128">
            <v>0</v>
          </cell>
        </row>
        <row r="129">
          <cell r="C129" t="str">
            <v>3413307</v>
          </cell>
          <cell r="G129">
            <v>0</v>
          </cell>
          <cell r="I129">
            <v>0</v>
          </cell>
          <cell r="Z129">
            <v>0</v>
          </cell>
          <cell r="AB129">
            <v>0</v>
          </cell>
          <cell r="AF129">
            <v>0</v>
          </cell>
        </row>
        <row r="130">
          <cell r="C130" t="str">
            <v>3413351</v>
          </cell>
          <cell r="G130">
            <v>0</v>
          </cell>
          <cell r="I130">
            <v>0</v>
          </cell>
          <cell r="Z130">
            <v>0</v>
          </cell>
          <cell r="AB130">
            <v>0</v>
          </cell>
          <cell r="AF130">
            <v>0</v>
          </cell>
        </row>
        <row r="131">
          <cell r="C131" t="str">
            <v>3413361</v>
          </cell>
          <cell r="G131">
            <v>0</v>
          </cell>
          <cell r="I131">
            <v>0</v>
          </cell>
          <cell r="Z131">
            <v>0</v>
          </cell>
          <cell r="AB131">
            <v>0</v>
          </cell>
          <cell r="AF131">
            <v>0</v>
          </cell>
        </row>
        <row r="132">
          <cell r="C132" t="str">
            <v>3413371</v>
          </cell>
          <cell r="G132">
            <v>0</v>
          </cell>
          <cell r="I132">
            <v>0</v>
          </cell>
          <cell r="Z132">
            <v>0</v>
          </cell>
          <cell r="AB132">
            <v>0</v>
          </cell>
          <cell r="AF132">
            <v>0</v>
          </cell>
        </row>
        <row r="133">
          <cell r="C133" t="str">
            <v>3414085</v>
          </cell>
          <cell r="G133">
            <v>125</v>
          </cell>
          <cell r="I133">
            <v>125</v>
          </cell>
          <cell r="Z133">
            <v>0</v>
          </cell>
          <cell r="AB133">
            <v>0</v>
          </cell>
          <cell r="AF133">
            <v>0</v>
          </cell>
        </row>
        <row r="134">
          <cell r="C134" t="str">
            <v>3414086</v>
          </cell>
          <cell r="G134">
            <v>7961</v>
          </cell>
          <cell r="I134">
            <v>36593611</v>
          </cell>
          <cell r="Z134">
            <v>10435</v>
          </cell>
          <cell r="AB134">
            <v>45819627</v>
          </cell>
          <cell r="AF134">
            <v>77400000</v>
          </cell>
        </row>
        <row r="135">
          <cell r="C135" t="str">
            <v>3414101</v>
          </cell>
          <cell r="G135">
            <v>17083.5</v>
          </cell>
          <cell r="I135">
            <v>66100436</v>
          </cell>
          <cell r="Z135">
            <v>4408</v>
          </cell>
          <cell r="AB135">
            <v>17055681</v>
          </cell>
          <cell r="AF135">
            <v>0</v>
          </cell>
        </row>
        <row r="136">
          <cell r="C136" t="str">
            <v>3414102</v>
          </cell>
          <cell r="G136">
            <v>0</v>
          </cell>
          <cell r="I136">
            <v>0</v>
          </cell>
          <cell r="Z136">
            <v>0</v>
          </cell>
          <cell r="AB136">
            <v>0</v>
          </cell>
          <cell r="AF136">
            <v>0</v>
          </cell>
        </row>
        <row r="137">
          <cell r="C137" t="str">
            <v>3414117</v>
          </cell>
          <cell r="G137">
            <v>0</v>
          </cell>
          <cell r="I137">
            <v>0</v>
          </cell>
          <cell r="Z137">
            <v>0</v>
          </cell>
          <cell r="AB137">
            <v>0</v>
          </cell>
          <cell r="AF137">
            <v>0</v>
          </cell>
        </row>
        <row r="138">
          <cell r="C138" t="str">
            <v>3414121</v>
          </cell>
          <cell r="G138">
            <v>0</v>
          </cell>
          <cell r="I138">
            <v>0</v>
          </cell>
          <cell r="Z138">
            <v>0</v>
          </cell>
          <cell r="AB138">
            <v>0</v>
          </cell>
          <cell r="AF138">
            <v>0</v>
          </cell>
        </row>
        <row r="139">
          <cell r="C139" t="str">
            <v>3415114</v>
          </cell>
          <cell r="G139">
            <v>0</v>
          </cell>
          <cell r="I139">
            <v>0</v>
          </cell>
          <cell r="Z139">
            <v>0</v>
          </cell>
          <cell r="AB139">
            <v>0</v>
          </cell>
          <cell r="AF139">
            <v>0</v>
          </cell>
        </row>
        <row r="140">
          <cell r="C140" t="str">
            <v>3416001</v>
          </cell>
          <cell r="G140">
            <v>0</v>
          </cell>
          <cell r="I140">
            <v>0</v>
          </cell>
          <cell r="Z140">
            <v>0</v>
          </cell>
          <cell r="AB140">
            <v>0</v>
          </cell>
          <cell r="AF140">
            <v>0</v>
          </cell>
        </row>
        <row r="141">
          <cell r="C141" t="str">
            <v>3416021</v>
          </cell>
          <cell r="G141">
            <v>1753.56</v>
          </cell>
          <cell r="I141">
            <v>7184968</v>
          </cell>
          <cell r="Z141">
            <v>982</v>
          </cell>
          <cell r="AB141">
            <v>4023608</v>
          </cell>
          <cell r="AF141">
            <v>0</v>
          </cell>
        </row>
        <row r="142">
          <cell r="C142" t="str">
            <v>3416022</v>
          </cell>
          <cell r="G142">
            <v>0</v>
          </cell>
          <cell r="I142">
            <v>0</v>
          </cell>
          <cell r="Z142">
            <v>0</v>
          </cell>
          <cell r="AB142">
            <v>0</v>
          </cell>
          <cell r="AF142">
            <v>0</v>
          </cell>
        </row>
        <row r="143">
          <cell r="C143" t="str">
            <v>3416031</v>
          </cell>
          <cell r="G143">
            <v>0</v>
          </cell>
          <cell r="I143">
            <v>0</v>
          </cell>
          <cell r="Z143">
            <v>0</v>
          </cell>
          <cell r="AB143">
            <v>0</v>
          </cell>
          <cell r="AF143">
            <v>0</v>
          </cell>
        </row>
        <row r="144">
          <cell r="C144" t="str">
            <v>3422001</v>
          </cell>
          <cell r="G144">
            <v>0</v>
          </cell>
          <cell r="I144">
            <v>0</v>
          </cell>
          <cell r="Z144">
            <v>0</v>
          </cell>
          <cell r="AB144">
            <v>0</v>
          </cell>
          <cell r="AF144">
            <v>0</v>
          </cell>
        </row>
        <row r="145">
          <cell r="C145" t="str">
            <v>3422002</v>
          </cell>
          <cell r="G145">
            <v>3260.7</v>
          </cell>
          <cell r="I145">
            <v>12889257</v>
          </cell>
          <cell r="Z145">
            <v>641</v>
          </cell>
          <cell r="AB145">
            <v>2533816</v>
          </cell>
          <cell r="AF145">
            <v>0</v>
          </cell>
        </row>
        <row r="146">
          <cell r="C146" t="str">
            <v>3422050</v>
          </cell>
          <cell r="G146">
            <v>26</v>
          </cell>
          <cell r="I146">
            <v>0</v>
          </cell>
          <cell r="Z146">
            <v>0</v>
          </cell>
          <cell r="AB146">
            <v>0</v>
          </cell>
          <cell r="AF146">
            <v>0</v>
          </cell>
        </row>
        <row r="147">
          <cell r="C147" t="str">
            <v>3423001</v>
          </cell>
          <cell r="G147">
            <v>0</v>
          </cell>
          <cell r="I147">
            <v>0</v>
          </cell>
          <cell r="Z147">
            <v>0</v>
          </cell>
          <cell r="AB147">
            <v>0</v>
          </cell>
          <cell r="AF147">
            <v>0</v>
          </cell>
        </row>
        <row r="148">
          <cell r="C148" t="str">
            <v>3425001</v>
          </cell>
          <cell r="G148">
            <v>0</v>
          </cell>
          <cell r="I148">
            <v>0</v>
          </cell>
          <cell r="Z148">
            <v>0</v>
          </cell>
          <cell r="AB148">
            <v>0</v>
          </cell>
          <cell r="AF148">
            <v>0</v>
          </cell>
        </row>
        <row r="149">
          <cell r="C149" t="str">
            <v>3425010</v>
          </cell>
          <cell r="G149">
            <v>0</v>
          </cell>
          <cell r="I149">
            <v>0</v>
          </cell>
          <cell r="Z149">
            <v>0</v>
          </cell>
          <cell r="AB149">
            <v>0</v>
          </cell>
          <cell r="AF149">
            <v>0</v>
          </cell>
        </row>
        <row r="150">
          <cell r="C150" t="str">
            <v>3427001</v>
          </cell>
          <cell r="G150">
            <v>0</v>
          </cell>
          <cell r="I150">
            <v>0</v>
          </cell>
          <cell r="Z150">
            <v>0</v>
          </cell>
          <cell r="AB150">
            <v>0</v>
          </cell>
          <cell r="AF150">
            <v>0</v>
          </cell>
        </row>
        <row r="151">
          <cell r="C151" t="str">
            <v>3427002</v>
          </cell>
          <cell r="G151">
            <v>0</v>
          </cell>
          <cell r="I151">
            <v>0</v>
          </cell>
          <cell r="Z151">
            <v>0</v>
          </cell>
          <cell r="AB151">
            <v>0</v>
          </cell>
          <cell r="AF151">
            <v>0</v>
          </cell>
        </row>
        <row r="152">
          <cell r="C152" t="str">
            <v>3428001</v>
          </cell>
          <cell r="G152">
            <v>0</v>
          </cell>
          <cell r="I152">
            <v>0</v>
          </cell>
          <cell r="Z152">
            <v>0</v>
          </cell>
          <cell r="AB152">
            <v>0</v>
          </cell>
          <cell r="AF152">
            <v>0</v>
          </cell>
        </row>
        <row r="153">
          <cell r="C153" t="str">
            <v>3429001</v>
          </cell>
          <cell r="G153">
            <v>0</v>
          </cell>
          <cell r="I153">
            <v>0</v>
          </cell>
          <cell r="Z153">
            <v>0</v>
          </cell>
          <cell r="AB153">
            <v>0</v>
          </cell>
          <cell r="AF153">
            <v>0</v>
          </cell>
        </row>
        <row r="154">
          <cell r="C154" t="str">
            <v>3429003</v>
          </cell>
          <cell r="G154">
            <v>0</v>
          </cell>
          <cell r="I154">
            <v>0</v>
          </cell>
          <cell r="Z154">
            <v>0</v>
          </cell>
          <cell r="AB154">
            <v>0</v>
          </cell>
          <cell r="AF154">
            <v>0</v>
          </cell>
        </row>
        <row r="155">
          <cell r="C155" t="str">
            <v>3429009</v>
          </cell>
          <cell r="G155">
            <v>0</v>
          </cell>
          <cell r="I155">
            <v>0</v>
          </cell>
          <cell r="Z155">
            <v>0</v>
          </cell>
          <cell r="AB155">
            <v>0</v>
          </cell>
          <cell r="AF155">
            <v>0</v>
          </cell>
        </row>
        <row r="156">
          <cell r="C156" t="str">
            <v>3429018</v>
          </cell>
          <cell r="G156">
            <v>0</v>
          </cell>
          <cell r="I156">
            <v>0</v>
          </cell>
          <cell r="Z156">
            <v>0</v>
          </cell>
          <cell r="AB156">
            <v>0</v>
          </cell>
          <cell r="AF156">
            <v>0</v>
          </cell>
        </row>
        <row r="157">
          <cell r="C157" t="str">
            <v>3429020</v>
          </cell>
          <cell r="G157">
            <v>0</v>
          </cell>
          <cell r="I157">
            <v>0</v>
          </cell>
          <cell r="Z157">
            <v>0</v>
          </cell>
          <cell r="AB157">
            <v>0</v>
          </cell>
          <cell r="AF157">
            <v>0</v>
          </cell>
        </row>
        <row r="158">
          <cell r="C158" t="str">
            <v>3429022</v>
          </cell>
          <cell r="G158">
            <v>0</v>
          </cell>
          <cell r="I158">
            <v>0</v>
          </cell>
          <cell r="Z158">
            <v>0</v>
          </cell>
          <cell r="AB158">
            <v>0</v>
          </cell>
          <cell r="AF158">
            <v>0</v>
          </cell>
        </row>
        <row r="159">
          <cell r="C159" t="str">
            <v>3429023</v>
          </cell>
          <cell r="G159">
            <v>0</v>
          </cell>
          <cell r="I159">
            <v>0</v>
          </cell>
          <cell r="Z159">
            <v>0</v>
          </cell>
          <cell r="AB159">
            <v>0</v>
          </cell>
          <cell r="AF159">
            <v>0</v>
          </cell>
        </row>
        <row r="160">
          <cell r="C160" t="str">
            <v>3429024</v>
          </cell>
          <cell r="G160">
            <v>0</v>
          </cell>
          <cell r="I160">
            <v>0</v>
          </cell>
          <cell r="Z160">
            <v>0</v>
          </cell>
          <cell r="AB160">
            <v>0</v>
          </cell>
          <cell r="AF160">
            <v>0</v>
          </cell>
        </row>
        <row r="161">
          <cell r="C161" t="str">
            <v>3449001</v>
          </cell>
          <cell r="G161">
            <v>0</v>
          </cell>
          <cell r="I161">
            <v>0</v>
          </cell>
          <cell r="Z161">
            <v>0</v>
          </cell>
          <cell r="AB161">
            <v>0</v>
          </cell>
          <cell r="AF161">
            <v>0</v>
          </cell>
        </row>
        <row r="162">
          <cell r="C162" t="str">
            <v>3451001</v>
          </cell>
          <cell r="G162">
            <v>0</v>
          </cell>
          <cell r="I162">
            <v>0</v>
          </cell>
          <cell r="Z162">
            <v>0</v>
          </cell>
          <cell r="AB162">
            <v>0</v>
          </cell>
          <cell r="AF162">
            <v>0</v>
          </cell>
        </row>
        <row r="163">
          <cell r="C163" t="str">
            <v>3451002</v>
          </cell>
          <cell r="G163">
            <v>0</v>
          </cell>
          <cell r="I163">
            <v>0</v>
          </cell>
          <cell r="Z163">
            <v>0</v>
          </cell>
          <cell r="AB163">
            <v>0</v>
          </cell>
          <cell r="AF163">
            <v>0</v>
          </cell>
        </row>
        <row r="164">
          <cell r="C164" t="str">
            <v>3451003</v>
          </cell>
          <cell r="G164">
            <v>0</v>
          </cell>
          <cell r="I164">
            <v>0</v>
          </cell>
          <cell r="Z164">
            <v>0</v>
          </cell>
          <cell r="AB164">
            <v>0</v>
          </cell>
          <cell r="AF164">
            <v>0</v>
          </cell>
        </row>
        <row r="165">
          <cell r="C165" t="str">
            <v>3451004</v>
          </cell>
          <cell r="G165">
            <v>0</v>
          </cell>
          <cell r="I165">
            <v>0</v>
          </cell>
          <cell r="Z165">
            <v>0</v>
          </cell>
          <cell r="AB165">
            <v>0</v>
          </cell>
          <cell r="AF165">
            <v>0</v>
          </cell>
        </row>
        <row r="166">
          <cell r="C166" t="str">
            <v>3451005</v>
          </cell>
          <cell r="G166">
            <v>51.28</v>
          </cell>
          <cell r="I166">
            <v>248823</v>
          </cell>
          <cell r="Z166">
            <v>0</v>
          </cell>
          <cell r="AB166">
            <v>0</v>
          </cell>
          <cell r="AF166">
            <v>0</v>
          </cell>
        </row>
        <row r="167">
          <cell r="C167" t="str">
            <v>3451006</v>
          </cell>
          <cell r="G167">
            <v>0</v>
          </cell>
          <cell r="I167">
            <v>0</v>
          </cell>
          <cell r="Z167">
            <v>0</v>
          </cell>
          <cell r="AB167">
            <v>0</v>
          </cell>
          <cell r="AF167">
            <v>0</v>
          </cell>
        </row>
        <row r="168">
          <cell r="C168" t="str">
            <v>3451051</v>
          </cell>
          <cell r="G168">
            <v>1603.78</v>
          </cell>
          <cell r="I168">
            <v>9940969</v>
          </cell>
          <cell r="Z168">
            <v>133</v>
          </cell>
          <cell r="AB168">
            <v>824395</v>
          </cell>
          <cell r="AF168">
            <v>0</v>
          </cell>
        </row>
        <row r="169">
          <cell r="C169" t="str">
            <v>3451052</v>
          </cell>
          <cell r="G169">
            <v>2190.5700000000002</v>
          </cell>
          <cell r="I169">
            <v>13152696</v>
          </cell>
          <cell r="Z169">
            <v>70</v>
          </cell>
          <cell r="AB169">
            <v>420296</v>
          </cell>
          <cell r="AF169">
            <v>0</v>
          </cell>
        </row>
        <row r="170">
          <cell r="C170" t="str">
            <v>3452003</v>
          </cell>
          <cell r="G170">
            <v>0</v>
          </cell>
          <cell r="I170">
            <v>0</v>
          </cell>
          <cell r="Z170">
            <v>0</v>
          </cell>
          <cell r="AB170">
            <v>0</v>
          </cell>
          <cell r="AF170">
            <v>0</v>
          </cell>
        </row>
        <row r="171">
          <cell r="C171" t="str">
            <v>3452004</v>
          </cell>
          <cell r="G171">
            <v>0</v>
          </cell>
          <cell r="I171">
            <v>0</v>
          </cell>
          <cell r="Z171">
            <v>0</v>
          </cell>
          <cell r="AB171">
            <v>0</v>
          </cell>
          <cell r="AF171">
            <v>0</v>
          </cell>
        </row>
        <row r="172">
          <cell r="C172" t="str">
            <v>3452006</v>
          </cell>
          <cell r="G172">
            <v>9.9</v>
          </cell>
          <cell r="I172">
            <v>613800</v>
          </cell>
          <cell r="Z172">
            <v>0</v>
          </cell>
          <cell r="AB172">
            <v>0</v>
          </cell>
          <cell r="AF172">
            <v>0</v>
          </cell>
        </row>
        <row r="173">
          <cell r="C173" t="str">
            <v>3452007</v>
          </cell>
          <cell r="G173">
            <v>0</v>
          </cell>
          <cell r="I173">
            <v>0</v>
          </cell>
          <cell r="Z173">
            <v>0</v>
          </cell>
          <cell r="AB173">
            <v>0</v>
          </cell>
          <cell r="AF173">
            <v>0</v>
          </cell>
        </row>
        <row r="174">
          <cell r="C174" t="str">
            <v>3452008</v>
          </cell>
          <cell r="G174">
            <v>8.6999999999999993</v>
          </cell>
          <cell r="I174">
            <v>421085</v>
          </cell>
          <cell r="Z174">
            <v>0</v>
          </cell>
          <cell r="AB174">
            <v>0</v>
          </cell>
          <cell r="AF174">
            <v>0</v>
          </cell>
        </row>
        <row r="175">
          <cell r="C175" t="str">
            <v>3453001</v>
          </cell>
          <cell r="G175">
            <v>14.2</v>
          </cell>
          <cell r="I175">
            <v>639017</v>
          </cell>
          <cell r="Z175">
            <v>0</v>
          </cell>
          <cell r="AB175">
            <v>0</v>
          </cell>
          <cell r="AF175">
            <v>0</v>
          </cell>
        </row>
        <row r="176">
          <cell r="C176" t="str">
            <v>3453002</v>
          </cell>
          <cell r="G176">
            <v>0</v>
          </cell>
          <cell r="I176">
            <v>0</v>
          </cell>
          <cell r="Z176">
            <v>0</v>
          </cell>
          <cell r="AB176">
            <v>0</v>
          </cell>
          <cell r="AF176">
            <v>0</v>
          </cell>
        </row>
        <row r="177">
          <cell r="C177" t="str">
            <v>3453003</v>
          </cell>
          <cell r="G177">
            <v>27</v>
          </cell>
          <cell r="I177">
            <v>1255500</v>
          </cell>
          <cell r="Z177">
            <v>0</v>
          </cell>
          <cell r="AB177">
            <v>0</v>
          </cell>
          <cell r="AF177">
            <v>0</v>
          </cell>
        </row>
        <row r="178">
          <cell r="C178" t="str">
            <v>3453004</v>
          </cell>
          <cell r="G178">
            <v>17</v>
          </cell>
          <cell r="I178">
            <v>255000</v>
          </cell>
          <cell r="Z178">
            <v>0</v>
          </cell>
          <cell r="AB178">
            <v>0</v>
          </cell>
          <cell r="AF178">
            <v>0</v>
          </cell>
        </row>
        <row r="179">
          <cell r="C179" t="str">
            <v>3454001</v>
          </cell>
          <cell r="G179">
            <v>0</v>
          </cell>
          <cell r="I179">
            <v>0</v>
          </cell>
          <cell r="Z179">
            <v>0</v>
          </cell>
          <cell r="AB179">
            <v>0</v>
          </cell>
          <cell r="AF179">
            <v>0</v>
          </cell>
        </row>
        <row r="180">
          <cell r="C180" t="str">
            <v>3454002</v>
          </cell>
          <cell r="G180">
            <v>0</v>
          </cell>
          <cell r="I180">
            <v>0</v>
          </cell>
          <cell r="Z180">
            <v>0</v>
          </cell>
          <cell r="AB180">
            <v>0</v>
          </cell>
          <cell r="AF180">
            <v>0</v>
          </cell>
        </row>
        <row r="181">
          <cell r="C181" t="str">
            <v>3454003</v>
          </cell>
          <cell r="G181">
            <v>0</v>
          </cell>
          <cell r="I181">
            <v>0</v>
          </cell>
          <cell r="Z181">
            <v>0</v>
          </cell>
          <cell r="AB181">
            <v>0</v>
          </cell>
          <cell r="AF181">
            <v>0</v>
          </cell>
        </row>
        <row r="182">
          <cell r="C182" t="str">
            <v>3455001</v>
          </cell>
          <cell r="G182">
            <v>0</v>
          </cell>
          <cell r="I182">
            <v>0</v>
          </cell>
          <cell r="Z182">
            <v>0</v>
          </cell>
          <cell r="AB182">
            <v>0</v>
          </cell>
          <cell r="AF182">
            <v>0</v>
          </cell>
        </row>
        <row r="183">
          <cell r="C183" t="str">
            <v>3455002</v>
          </cell>
          <cell r="G183">
            <v>1582</v>
          </cell>
          <cell r="I183">
            <v>885920</v>
          </cell>
          <cell r="Z183">
            <v>5</v>
          </cell>
          <cell r="AB183">
            <v>2800</v>
          </cell>
          <cell r="AF183">
            <v>0</v>
          </cell>
        </row>
        <row r="184">
          <cell r="C184" t="str">
            <v>3455003</v>
          </cell>
          <cell r="G184">
            <v>1315</v>
          </cell>
          <cell r="I184">
            <v>1627251</v>
          </cell>
          <cell r="Z184">
            <v>11</v>
          </cell>
          <cell r="AB184">
            <v>13612</v>
          </cell>
          <cell r="AF184">
            <v>0</v>
          </cell>
        </row>
        <row r="185">
          <cell r="C185" t="str">
            <v>3455021</v>
          </cell>
          <cell r="G185">
            <v>787</v>
          </cell>
          <cell r="I185">
            <v>3151538</v>
          </cell>
          <cell r="Z185">
            <v>0</v>
          </cell>
          <cell r="AB185">
            <v>0</v>
          </cell>
          <cell r="AF185">
            <v>0</v>
          </cell>
        </row>
        <row r="186">
          <cell r="C186" t="str">
            <v>3455031</v>
          </cell>
          <cell r="G186">
            <v>8761.7000000000007</v>
          </cell>
          <cell r="I186">
            <v>2347205</v>
          </cell>
          <cell r="Z186">
            <v>5448</v>
          </cell>
          <cell r="AB186">
            <v>1466118</v>
          </cell>
          <cell r="AF186">
            <v>3240000</v>
          </cell>
        </row>
        <row r="187">
          <cell r="C187" t="str">
            <v>3455033</v>
          </cell>
          <cell r="G187">
            <v>1113</v>
          </cell>
          <cell r="I187">
            <v>422940</v>
          </cell>
          <cell r="Z187">
            <v>0</v>
          </cell>
          <cell r="AB187">
            <v>0</v>
          </cell>
          <cell r="AF187">
            <v>0</v>
          </cell>
        </row>
        <row r="188">
          <cell r="C188" t="str">
            <v>3456000</v>
          </cell>
          <cell r="G188">
            <v>4436</v>
          </cell>
          <cell r="I188">
            <v>12174564</v>
          </cell>
          <cell r="Z188">
            <v>20</v>
          </cell>
          <cell r="AB188">
            <v>54890</v>
          </cell>
          <cell r="AF188">
            <v>0</v>
          </cell>
        </row>
        <row r="189">
          <cell r="C189" t="str">
            <v>3456001</v>
          </cell>
          <cell r="G189">
            <v>5517.9</v>
          </cell>
          <cell r="I189">
            <v>13045027</v>
          </cell>
          <cell r="Z189">
            <v>1549</v>
          </cell>
          <cell r="AB189">
            <v>3662036</v>
          </cell>
          <cell r="AF189">
            <v>0</v>
          </cell>
        </row>
        <row r="190">
          <cell r="C190" t="str">
            <v>3456002</v>
          </cell>
          <cell r="G190">
            <v>9959.2999999999993</v>
          </cell>
          <cell r="I190">
            <v>32267755</v>
          </cell>
          <cell r="Z190">
            <v>4831</v>
          </cell>
          <cell r="AB190">
            <v>15652257</v>
          </cell>
          <cell r="AF190">
            <v>0</v>
          </cell>
        </row>
        <row r="191">
          <cell r="C191" t="str">
            <v>3456003</v>
          </cell>
          <cell r="G191">
            <v>16838</v>
          </cell>
          <cell r="I191">
            <v>60292261</v>
          </cell>
          <cell r="Z191">
            <v>1432</v>
          </cell>
          <cell r="AB191">
            <v>5127599</v>
          </cell>
          <cell r="AF191">
            <v>0</v>
          </cell>
        </row>
        <row r="192">
          <cell r="C192" t="str">
            <v>3456004</v>
          </cell>
          <cell r="G192">
            <v>6700.9</v>
          </cell>
          <cell r="I192">
            <v>25642393</v>
          </cell>
          <cell r="Z192">
            <v>2322</v>
          </cell>
          <cell r="AB192">
            <v>8885618</v>
          </cell>
          <cell r="AF192">
            <v>0</v>
          </cell>
        </row>
        <row r="193">
          <cell r="C193" t="str">
            <v>3456005</v>
          </cell>
          <cell r="G193">
            <v>10755</v>
          </cell>
          <cell r="I193">
            <v>34631100</v>
          </cell>
          <cell r="Z193">
            <v>0</v>
          </cell>
          <cell r="AB193">
            <v>0</v>
          </cell>
          <cell r="AF193">
            <v>0</v>
          </cell>
        </row>
        <row r="194">
          <cell r="C194" t="str">
            <v>3456011</v>
          </cell>
          <cell r="G194">
            <v>0</v>
          </cell>
          <cell r="I194">
            <v>0</v>
          </cell>
          <cell r="Z194">
            <v>0</v>
          </cell>
          <cell r="AB194">
            <v>0</v>
          </cell>
          <cell r="AF194">
            <v>0</v>
          </cell>
        </row>
        <row r="195">
          <cell r="C195" t="str">
            <v>3456021</v>
          </cell>
          <cell r="G195">
            <v>0</v>
          </cell>
          <cell r="I195">
            <v>0</v>
          </cell>
          <cell r="Z195">
            <v>0</v>
          </cell>
          <cell r="AB195">
            <v>0</v>
          </cell>
          <cell r="AF195">
            <v>0</v>
          </cell>
        </row>
        <row r="196">
          <cell r="C196" t="str">
            <v>3456031</v>
          </cell>
          <cell r="G196">
            <v>8085.6</v>
          </cell>
          <cell r="I196">
            <v>66717418</v>
          </cell>
          <cell r="Z196">
            <v>4576</v>
          </cell>
          <cell r="AB196">
            <v>36708717</v>
          </cell>
          <cell r="AF196">
            <v>75156641</v>
          </cell>
        </row>
        <row r="197">
          <cell r="C197" t="str">
            <v>3457001</v>
          </cell>
          <cell r="G197">
            <v>0</v>
          </cell>
          <cell r="I197">
            <v>0</v>
          </cell>
          <cell r="Z197">
            <v>0</v>
          </cell>
          <cell r="AB197">
            <v>0</v>
          </cell>
          <cell r="AF197">
            <v>0</v>
          </cell>
        </row>
        <row r="198">
          <cell r="C198" t="str">
            <v>3457002</v>
          </cell>
          <cell r="G198">
            <v>0</v>
          </cell>
          <cell r="I198">
            <v>0</v>
          </cell>
          <cell r="Z198">
            <v>0</v>
          </cell>
          <cell r="AB198">
            <v>0</v>
          </cell>
          <cell r="AF198">
            <v>0</v>
          </cell>
        </row>
        <row r="199">
          <cell r="C199" t="str">
            <v>3457011</v>
          </cell>
          <cell r="G199">
            <v>0</v>
          </cell>
          <cell r="I199">
            <v>0</v>
          </cell>
          <cell r="Z199">
            <v>0</v>
          </cell>
          <cell r="AB199">
            <v>0</v>
          </cell>
          <cell r="AF199">
            <v>0</v>
          </cell>
        </row>
        <row r="200">
          <cell r="C200" t="str">
            <v>3457012</v>
          </cell>
          <cell r="G200">
            <v>553</v>
          </cell>
          <cell r="I200">
            <v>10700397</v>
          </cell>
          <cell r="Z200">
            <v>0</v>
          </cell>
          <cell r="AB200">
            <v>0</v>
          </cell>
          <cell r="AF200">
            <v>0</v>
          </cell>
        </row>
        <row r="201">
          <cell r="C201" t="str">
            <v>3457015</v>
          </cell>
          <cell r="G201">
            <v>4942</v>
          </cell>
          <cell r="I201">
            <v>74948889</v>
          </cell>
          <cell r="Z201">
            <v>5247</v>
          </cell>
          <cell r="AB201">
            <v>72729000</v>
          </cell>
          <cell r="AF201">
            <v>329447635</v>
          </cell>
        </row>
        <row r="202">
          <cell r="C202" t="str">
            <v>3457017</v>
          </cell>
          <cell r="G202">
            <v>0</v>
          </cell>
          <cell r="I202">
            <v>0</v>
          </cell>
          <cell r="Z202">
            <v>0</v>
          </cell>
          <cell r="AB202">
            <v>0</v>
          </cell>
          <cell r="AF202">
            <v>0</v>
          </cell>
        </row>
        <row r="203">
          <cell r="C203" t="str">
            <v>3457031</v>
          </cell>
          <cell r="G203">
            <v>0</v>
          </cell>
          <cell r="I203">
            <v>0</v>
          </cell>
          <cell r="Z203">
            <v>0</v>
          </cell>
          <cell r="AB203">
            <v>0</v>
          </cell>
          <cell r="AF203">
            <v>0</v>
          </cell>
        </row>
        <row r="204">
          <cell r="C204" t="str">
            <v>3457041</v>
          </cell>
          <cell r="G204">
            <v>3653</v>
          </cell>
          <cell r="I204">
            <v>35161069</v>
          </cell>
          <cell r="Z204">
            <v>11682</v>
          </cell>
          <cell r="AB204">
            <v>117059393</v>
          </cell>
          <cell r="AF204">
            <v>91628222</v>
          </cell>
        </row>
        <row r="205">
          <cell r="C205" t="str">
            <v>3457042</v>
          </cell>
          <cell r="G205">
            <v>1100</v>
          </cell>
          <cell r="I205">
            <v>16553817</v>
          </cell>
          <cell r="Z205">
            <v>0</v>
          </cell>
          <cell r="AB205">
            <v>0</v>
          </cell>
          <cell r="AF205">
            <v>29390181</v>
          </cell>
        </row>
        <row r="206">
          <cell r="C206" t="str">
            <v>3457051</v>
          </cell>
          <cell r="G206">
            <v>1800</v>
          </cell>
          <cell r="I206">
            <v>1800</v>
          </cell>
          <cell r="Z206">
            <v>600</v>
          </cell>
          <cell r="AB206">
            <v>600</v>
          </cell>
          <cell r="AF206">
            <v>0</v>
          </cell>
        </row>
        <row r="207">
          <cell r="C207" t="str">
            <v>3457053</v>
          </cell>
          <cell r="G207">
            <v>5040</v>
          </cell>
          <cell r="I207">
            <v>59976000</v>
          </cell>
          <cell r="Z207">
            <v>0</v>
          </cell>
          <cell r="AB207">
            <v>0</v>
          </cell>
          <cell r="AF207">
            <v>0</v>
          </cell>
        </row>
        <row r="208">
          <cell r="C208" t="str">
            <v>3457061</v>
          </cell>
          <cell r="G208">
            <v>0</v>
          </cell>
          <cell r="I208">
            <v>0</v>
          </cell>
          <cell r="Z208">
            <v>0</v>
          </cell>
          <cell r="AB208">
            <v>0</v>
          </cell>
          <cell r="AF208">
            <v>0</v>
          </cell>
        </row>
        <row r="209">
          <cell r="C209" t="str">
            <v>3457091</v>
          </cell>
          <cell r="G209">
            <v>0</v>
          </cell>
          <cell r="I209">
            <v>0</v>
          </cell>
          <cell r="Z209">
            <v>0</v>
          </cell>
          <cell r="AB209">
            <v>0</v>
          </cell>
          <cell r="AF209">
            <v>0</v>
          </cell>
        </row>
        <row r="210">
          <cell r="C210" t="str">
            <v>3458001</v>
          </cell>
          <cell r="G210">
            <v>6865.74</v>
          </cell>
          <cell r="I210">
            <v>72471950</v>
          </cell>
          <cell r="Z210">
            <v>1536</v>
          </cell>
          <cell r="AB210">
            <v>16213389</v>
          </cell>
          <cell r="AF210">
            <v>0</v>
          </cell>
        </row>
        <row r="211">
          <cell r="C211" t="str">
            <v>3458002</v>
          </cell>
          <cell r="G211">
            <v>39.200000000000003</v>
          </cell>
          <cell r="I211">
            <v>528694</v>
          </cell>
          <cell r="Z211">
            <v>0</v>
          </cell>
          <cell r="AB211">
            <v>0</v>
          </cell>
          <cell r="AF211">
            <v>0</v>
          </cell>
        </row>
        <row r="212">
          <cell r="C212" t="str">
            <v>3458003</v>
          </cell>
          <cell r="G212">
            <v>0</v>
          </cell>
          <cell r="I212">
            <v>0</v>
          </cell>
          <cell r="Z212">
            <v>0</v>
          </cell>
          <cell r="AB212">
            <v>0</v>
          </cell>
          <cell r="AF212">
            <v>0</v>
          </cell>
        </row>
        <row r="213">
          <cell r="C213" t="str">
            <v>3458004</v>
          </cell>
          <cell r="G213">
            <v>0</v>
          </cell>
          <cell r="I213">
            <v>0</v>
          </cell>
          <cell r="Z213">
            <v>0</v>
          </cell>
          <cell r="AB213">
            <v>0</v>
          </cell>
          <cell r="AF213">
            <v>0</v>
          </cell>
        </row>
        <row r="214">
          <cell r="C214" t="str">
            <v>3458005</v>
          </cell>
          <cell r="G214">
            <v>0</v>
          </cell>
          <cell r="I214">
            <v>0</v>
          </cell>
          <cell r="Z214">
            <v>0</v>
          </cell>
          <cell r="AB214">
            <v>0</v>
          </cell>
          <cell r="AF214">
            <v>0</v>
          </cell>
        </row>
        <row r="215">
          <cell r="C215" t="str">
            <v>3458006</v>
          </cell>
          <cell r="G215">
            <v>0</v>
          </cell>
          <cell r="I215">
            <v>0</v>
          </cell>
          <cell r="Z215">
            <v>0</v>
          </cell>
          <cell r="AB215">
            <v>0</v>
          </cell>
          <cell r="AF215">
            <v>0</v>
          </cell>
        </row>
        <row r="216">
          <cell r="C216" t="str">
            <v>3458007</v>
          </cell>
          <cell r="G216">
            <v>0</v>
          </cell>
          <cell r="I216">
            <v>0</v>
          </cell>
          <cell r="Z216">
            <v>0</v>
          </cell>
          <cell r="AB216">
            <v>0</v>
          </cell>
          <cell r="AF216">
            <v>0</v>
          </cell>
        </row>
        <row r="217">
          <cell r="C217" t="str">
            <v>3458008</v>
          </cell>
          <cell r="G217">
            <v>8479</v>
          </cell>
          <cell r="I217">
            <v>126709968</v>
          </cell>
          <cell r="Z217">
            <v>20</v>
          </cell>
          <cell r="AB217">
            <v>298880</v>
          </cell>
          <cell r="AF217">
            <v>0</v>
          </cell>
        </row>
        <row r="218">
          <cell r="C218" t="str">
            <v>3458010</v>
          </cell>
          <cell r="G218">
            <v>0</v>
          </cell>
          <cell r="I218">
            <v>0</v>
          </cell>
          <cell r="Z218">
            <v>0</v>
          </cell>
          <cell r="AB218">
            <v>0</v>
          </cell>
          <cell r="AF218">
            <v>0</v>
          </cell>
        </row>
        <row r="219">
          <cell r="C219" t="str">
            <v>3458011</v>
          </cell>
          <cell r="G219">
            <v>475</v>
          </cell>
          <cell r="I219">
            <v>6709369</v>
          </cell>
          <cell r="Z219">
            <v>100</v>
          </cell>
          <cell r="AB219">
            <v>1412499</v>
          </cell>
          <cell r="AF219">
            <v>0</v>
          </cell>
        </row>
        <row r="220">
          <cell r="C220" t="str">
            <v>3458031</v>
          </cell>
          <cell r="G220">
            <v>1241.51</v>
          </cell>
          <cell r="I220">
            <v>17517117</v>
          </cell>
          <cell r="Z220">
            <v>0</v>
          </cell>
          <cell r="AB220">
            <v>0</v>
          </cell>
          <cell r="AF220">
            <v>0</v>
          </cell>
        </row>
        <row r="221">
          <cell r="C221" t="str">
            <v>3458041</v>
          </cell>
          <cell r="G221">
            <v>0</v>
          </cell>
          <cell r="I221">
            <v>0</v>
          </cell>
          <cell r="Z221">
            <v>0</v>
          </cell>
          <cell r="AB221">
            <v>0</v>
          </cell>
          <cell r="AF221">
            <v>0</v>
          </cell>
        </row>
        <row r="222">
          <cell r="C222" t="str">
            <v>3458051</v>
          </cell>
          <cell r="G222">
            <v>2.5</v>
          </cell>
          <cell r="I222">
            <v>250000</v>
          </cell>
          <cell r="Z222">
            <v>0</v>
          </cell>
          <cell r="AB222">
            <v>0</v>
          </cell>
          <cell r="AF222">
            <v>0</v>
          </cell>
        </row>
        <row r="223">
          <cell r="C223" t="str">
            <v>3459001</v>
          </cell>
          <cell r="G223">
            <v>0</v>
          </cell>
          <cell r="I223">
            <v>0</v>
          </cell>
          <cell r="Z223">
            <v>0</v>
          </cell>
          <cell r="AB223">
            <v>0</v>
          </cell>
          <cell r="AF223">
            <v>0</v>
          </cell>
        </row>
        <row r="224">
          <cell r="C224" t="str">
            <v>3459002</v>
          </cell>
          <cell r="G224">
            <v>12479</v>
          </cell>
          <cell r="I224">
            <v>18718500</v>
          </cell>
          <cell r="Z224">
            <v>19553</v>
          </cell>
          <cell r="AB224">
            <v>28727480</v>
          </cell>
          <cell r="AF224">
            <v>29000000</v>
          </cell>
        </row>
        <row r="225">
          <cell r="C225" t="str">
            <v>3459011</v>
          </cell>
          <cell r="G225">
            <v>684</v>
          </cell>
          <cell r="I225">
            <v>1104188</v>
          </cell>
          <cell r="Z225">
            <v>8600</v>
          </cell>
          <cell r="AB225">
            <v>12516729</v>
          </cell>
          <cell r="AF225">
            <v>29000000</v>
          </cell>
        </row>
        <row r="226">
          <cell r="C226" t="str">
            <v>3459012</v>
          </cell>
          <cell r="G226">
            <v>0</v>
          </cell>
          <cell r="I226">
            <v>0</v>
          </cell>
          <cell r="Z226">
            <v>0</v>
          </cell>
          <cell r="AB226">
            <v>0</v>
          </cell>
          <cell r="AF226">
            <v>0</v>
          </cell>
        </row>
        <row r="227">
          <cell r="C227" t="str">
            <v>3459021</v>
          </cell>
          <cell r="G227">
            <v>0</v>
          </cell>
          <cell r="I227">
            <v>0</v>
          </cell>
          <cell r="Z227">
            <v>0</v>
          </cell>
          <cell r="AB227">
            <v>0</v>
          </cell>
          <cell r="AF227">
            <v>0</v>
          </cell>
        </row>
        <row r="228">
          <cell r="C228" t="str">
            <v>3459022</v>
          </cell>
          <cell r="G228">
            <v>0</v>
          </cell>
          <cell r="I228">
            <v>0</v>
          </cell>
          <cell r="Z228">
            <v>0</v>
          </cell>
          <cell r="AB228">
            <v>0</v>
          </cell>
          <cell r="AF228">
            <v>0</v>
          </cell>
        </row>
        <row r="229">
          <cell r="C229" t="str">
            <v>3459028</v>
          </cell>
          <cell r="G229">
            <v>2613</v>
          </cell>
          <cell r="I229">
            <v>4408866</v>
          </cell>
          <cell r="Z229">
            <v>2613</v>
          </cell>
          <cell r="AB229">
            <v>4408866</v>
          </cell>
          <cell r="AF229">
            <v>0</v>
          </cell>
        </row>
        <row r="230">
          <cell r="C230" t="str">
            <v>3459029</v>
          </cell>
          <cell r="G230">
            <v>0</v>
          </cell>
          <cell r="I230">
            <v>0</v>
          </cell>
          <cell r="Z230">
            <v>0</v>
          </cell>
          <cell r="AB230">
            <v>0</v>
          </cell>
          <cell r="AF230">
            <v>0</v>
          </cell>
        </row>
        <row r="231">
          <cell r="C231" t="str">
            <v>3459030</v>
          </cell>
          <cell r="G231">
            <v>0</v>
          </cell>
          <cell r="I231">
            <v>0</v>
          </cell>
          <cell r="Z231">
            <v>0</v>
          </cell>
          <cell r="AB231">
            <v>0</v>
          </cell>
          <cell r="AF231">
            <v>0</v>
          </cell>
        </row>
        <row r="232">
          <cell r="C232" t="str">
            <v>3459031</v>
          </cell>
          <cell r="G232">
            <v>0</v>
          </cell>
          <cell r="I232">
            <v>0</v>
          </cell>
          <cell r="Z232">
            <v>0</v>
          </cell>
          <cell r="AB232">
            <v>0</v>
          </cell>
          <cell r="AF232">
            <v>0</v>
          </cell>
        </row>
        <row r="233">
          <cell r="C233" t="str">
            <v>3459032</v>
          </cell>
          <cell r="G233">
            <v>0</v>
          </cell>
          <cell r="I233">
            <v>0</v>
          </cell>
          <cell r="Z233">
            <v>0</v>
          </cell>
          <cell r="AB233">
            <v>0</v>
          </cell>
          <cell r="AF233">
            <v>0</v>
          </cell>
        </row>
        <row r="234">
          <cell r="C234" t="str">
            <v>3459092</v>
          </cell>
          <cell r="G234">
            <v>0</v>
          </cell>
          <cell r="I234">
            <v>0</v>
          </cell>
          <cell r="Z234">
            <v>0</v>
          </cell>
          <cell r="AB234">
            <v>0</v>
          </cell>
          <cell r="AF234">
            <v>0</v>
          </cell>
        </row>
        <row r="235">
          <cell r="C235" t="str">
            <v>3460001</v>
          </cell>
          <cell r="G235">
            <v>160.6</v>
          </cell>
          <cell r="I235">
            <v>2568055</v>
          </cell>
          <cell r="Z235">
            <v>3</v>
          </cell>
          <cell r="AB235">
            <v>47971</v>
          </cell>
          <cell r="AF235">
            <v>0</v>
          </cell>
        </row>
        <row r="236">
          <cell r="C236" t="str">
            <v>3460002</v>
          </cell>
          <cell r="G236">
            <v>386</v>
          </cell>
          <cell r="I236">
            <v>5866144</v>
          </cell>
          <cell r="Z236">
            <v>8</v>
          </cell>
          <cell r="AB236">
            <v>121578</v>
          </cell>
          <cell r="AF236">
            <v>0</v>
          </cell>
        </row>
        <row r="237">
          <cell r="C237" t="str">
            <v>3460003</v>
          </cell>
          <cell r="G237">
            <v>0</v>
          </cell>
          <cell r="I237">
            <v>0</v>
          </cell>
          <cell r="Z237">
            <v>0</v>
          </cell>
          <cell r="AB237">
            <v>0</v>
          </cell>
          <cell r="AF237">
            <v>0</v>
          </cell>
        </row>
        <row r="238">
          <cell r="C238" t="str">
            <v>3461001</v>
          </cell>
          <cell r="G238">
            <v>136</v>
          </cell>
          <cell r="I238">
            <v>843097</v>
          </cell>
          <cell r="Z238">
            <v>0</v>
          </cell>
          <cell r="AB238">
            <v>0</v>
          </cell>
          <cell r="AF238">
            <v>0</v>
          </cell>
        </row>
        <row r="239">
          <cell r="C239" t="str">
            <v>3462001</v>
          </cell>
          <cell r="G239">
            <v>1647</v>
          </cell>
          <cell r="I239">
            <v>1436505</v>
          </cell>
          <cell r="Z239">
            <v>7</v>
          </cell>
          <cell r="AB239">
            <v>6105</v>
          </cell>
          <cell r="AF239">
            <v>0</v>
          </cell>
        </row>
        <row r="240">
          <cell r="C240" t="str">
            <v>3463001</v>
          </cell>
          <cell r="G240">
            <v>0</v>
          </cell>
          <cell r="I240">
            <v>0</v>
          </cell>
          <cell r="Z240">
            <v>0</v>
          </cell>
          <cell r="AB240">
            <v>0</v>
          </cell>
          <cell r="AF240">
            <v>0</v>
          </cell>
        </row>
        <row r="241">
          <cell r="C241" t="str">
            <v>3464001</v>
          </cell>
          <cell r="G241">
            <v>0</v>
          </cell>
          <cell r="I241">
            <v>0</v>
          </cell>
          <cell r="Z241">
            <v>0</v>
          </cell>
          <cell r="AB241">
            <v>0</v>
          </cell>
          <cell r="AF241">
            <v>0</v>
          </cell>
        </row>
        <row r="242">
          <cell r="C242" t="str">
            <v>3464100</v>
          </cell>
          <cell r="G242">
            <v>0</v>
          </cell>
          <cell r="I242">
            <v>0</v>
          </cell>
          <cell r="Z242">
            <v>0</v>
          </cell>
          <cell r="AB242">
            <v>0</v>
          </cell>
          <cell r="AF242">
            <v>0</v>
          </cell>
        </row>
        <row r="243">
          <cell r="C243" t="str">
            <v>3465001</v>
          </cell>
          <cell r="G243">
            <v>0</v>
          </cell>
          <cell r="I243">
            <v>0</v>
          </cell>
          <cell r="Z243">
            <v>0</v>
          </cell>
          <cell r="AB243">
            <v>0</v>
          </cell>
          <cell r="AF243">
            <v>0</v>
          </cell>
        </row>
        <row r="244">
          <cell r="C244" t="str">
            <v>3465011</v>
          </cell>
          <cell r="G244">
            <v>0</v>
          </cell>
          <cell r="I244">
            <v>0</v>
          </cell>
          <cell r="Z244">
            <v>0</v>
          </cell>
          <cell r="AB244">
            <v>0</v>
          </cell>
          <cell r="AF244">
            <v>0</v>
          </cell>
        </row>
        <row r="245">
          <cell r="C245" t="str">
            <v>3479001</v>
          </cell>
          <cell r="G245">
            <v>0</v>
          </cell>
          <cell r="I245">
            <v>0</v>
          </cell>
          <cell r="Z245">
            <v>0</v>
          </cell>
          <cell r="AB245">
            <v>0</v>
          </cell>
          <cell r="AF245">
            <v>0</v>
          </cell>
        </row>
        <row r="246">
          <cell r="C246" t="str">
            <v>3479005</v>
          </cell>
          <cell r="G246">
            <v>351</v>
          </cell>
          <cell r="I246">
            <v>2948400</v>
          </cell>
          <cell r="Z246">
            <v>0</v>
          </cell>
          <cell r="AB246">
            <v>0</v>
          </cell>
          <cell r="AF246">
            <v>0</v>
          </cell>
        </row>
        <row r="247">
          <cell r="C247" t="str">
            <v>3479007</v>
          </cell>
          <cell r="G247">
            <v>410</v>
          </cell>
          <cell r="I247">
            <v>3380535</v>
          </cell>
          <cell r="Z247">
            <v>0</v>
          </cell>
          <cell r="AB247">
            <v>0</v>
          </cell>
          <cell r="AF247">
            <v>0</v>
          </cell>
        </row>
        <row r="248">
          <cell r="C248" t="str">
            <v>3479011</v>
          </cell>
          <cell r="G248">
            <v>0</v>
          </cell>
          <cell r="I248">
            <v>0</v>
          </cell>
          <cell r="Z248">
            <v>0</v>
          </cell>
          <cell r="AB248">
            <v>0</v>
          </cell>
          <cell r="AF248">
            <v>0</v>
          </cell>
        </row>
        <row r="249">
          <cell r="C249" t="str">
            <v>3479021</v>
          </cell>
          <cell r="G249">
            <v>80</v>
          </cell>
          <cell r="I249">
            <v>400000</v>
          </cell>
          <cell r="Z249">
            <v>1</v>
          </cell>
          <cell r="AB249">
            <v>5000</v>
          </cell>
          <cell r="AF249">
            <v>0</v>
          </cell>
        </row>
        <row r="250">
          <cell r="C250" t="str">
            <v>3479022</v>
          </cell>
          <cell r="G250">
            <v>0</v>
          </cell>
          <cell r="I250">
            <v>0</v>
          </cell>
          <cell r="Z250">
            <v>0</v>
          </cell>
          <cell r="AB250">
            <v>0</v>
          </cell>
          <cell r="AF250">
            <v>0</v>
          </cell>
        </row>
        <row r="251">
          <cell r="C251" t="str">
            <v>3479023</v>
          </cell>
          <cell r="G251">
            <v>140</v>
          </cell>
          <cell r="I251">
            <v>2059164</v>
          </cell>
          <cell r="Z251">
            <v>8</v>
          </cell>
          <cell r="AB251">
            <v>117667</v>
          </cell>
          <cell r="AF251">
            <v>0</v>
          </cell>
        </row>
        <row r="252">
          <cell r="C252" t="str">
            <v>3479024</v>
          </cell>
          <cell r="G252">
            <v>0</v>
          </cell>
          <cell r="I252">
            <v>0</v>
          </cell>
          <cell r="Z252">
            <v>16</v>
          </cell>
          <cell r="AB252">
            <v>86400</v>
          </cell>
          <cell r="AF252">
            <v>1620000</v>
          </cell>
        </row>
        <row r="253">
          <cell r="C253" t="str">
            <v>3479041</v>
          </cell>
          <cell r="G253">
            <v>3</v>
          </cell>
          <cell r="I253">
            <v>12000</v>
          </cell>
          <cell r="Z253">
            <v>0</v>
          </cell>
          <cell r="AB253">
            <v>0</v>
          </cell>
          <cell r="AF253">
            <v>0</v>
          </cell>
        </row>
        <row r="254">
          <cell r="C254" t="str">
            <v>3479043</v>
          </cell>
          <cell r="G254">
            <v>0</v>
          </cell>
          <cell r="I254">
            <v>0</v>
          </cell>
          <cell r="Z254">
            <v>0</v>
          </cell>
          <cell r="AB254">
            <v>0</v>
          </cell>
          <cell r="AF254">
            <v>0</v>
          </cell>
        </row>
        <row r="255">
          <cell r="C255" t="str">
            <v>3479045</v>
          </cell>
          <cell r="G255">
            <v>1144.3499999999999</v>
          </cell>
          <cell r="I255">
            <v>4426702</v>
          </cell>
          <cell r="Z255">
            <v>83</v>
          </cell>
          <cell r="AB255">
            <v>321070</v>
          </cell>
          <cell r="AF255">
            <v>0</v>
          </cell>
        </row>
        <row r="256">
          <cell r="C256" t="str">
            <v>3479046</v>
          </cell>
          <cell r="G256">
            <v>1170</v>
          </cell>
          <cell r="I256">
            <v>5752468</v>
          </cell>
          <cell r="Z256">
            <v>0</v>
          </cell>
          <cell r="AB256">
            <v>0</v>
          </cell>
          <cell r="AF256">
            <v>0</v>
          </cell>
        </row>
        <row r="257">
          <cell r="C257" t="str">
            <v>3479047</v>
          </cell>
          <cell r="G257">
            <v>2</v>
          </cell>
          <cell r="I257">
            <v>6800</v>
          </cell>
          <cell r="Z257">
            <v>0</v>
          </cell>
          <cell r="AB257">
            <v>0</v>
          </cell>
          <cell r="AF257">
            <v>0</v>
          </cell>
        </row>
        <row r="258">
          <cell r="C258" t="str">
            <v>3479050</v>
          </cell>
          <cell r="G258">
            <v>0</v>
          </cell>
          <cell r="I258">
            <v>0</v>
          </cell>
          <cell r="Z258">
            <v>0</v>
          </cell>
          <cell r="AB258">
            <v>0</v>
          </cell>
          <cell r="AF258">
            <v>0</v>
          </cell>
        </row>
        <row r="259">
          <cell r="C259" t="str">
            <v>3479060</v>
          </cell>
          <cell r="G259">
            <v>0</v>
          </cell>
          <cell r="I259">
            <v>0</v>
          </cell>
          <cell r="Z259">
            <v>0</v>
          </cell>
          <cell r="AB259">
            <v>0</v>
          </cell>
          <cell r="AF259">
            <v>0</v>
          </cell>
        </row>
        <row r="260">
          <cell r="C260" t="str">
            <v>3479068</v>
          </cell>
          <cell r="G260">
            <v>0</v>
          </cell>
          <cell r="I260">
            <v>0</v>
          </cell>
          <cell r="Z260">
            <v>0</v>
          </cell>
          <cell r="AB260">
            <v>0</v>
          </cell>
          <cell r="AF260">
            <v>0</v>
          </cell>
        </row>
        <row r="261">
          <cell r="C261" t="str">
            <v>3479069</v>
          </cell>
          <cell r="G261">
            <v>0</v>
          </cell>
          <cell r="I261">
            <v>0</v>
          </cell>
          <cell r="Z261">
            <v>0</v>
          </cell>
          <cell r="AB261">
            <v>0</v>
          </cell>
          <cell r="AF261">
            <v>0</v>
          </cell>
        </row>
        <row r="262">
          <cell r="C262" t="str">
            <v>3479070</v>
          </cell>
          <cell r="G262">
            <v>0</v>
          </cell>
          <cell r="I262">
            <v>0</v>
          </cell>
          <cell r="Z262">
            <v>0</v>
          </cell>
          <cell r="AB262">
            <v>0</v>
          </cell>
          <cell r="AF262">
            <v>0</v>
          </cell>
        </row>
        <row r="263">
          <cell r="C263" t="str">
            <v>3479071</v>
          </cell>
          <cell r="G263">
            <v>0</v>
          </cell>
          <cell r="I263">
            <v>0</v>
          </cell>
          <cell r="Z263">
            <v>0</v>
          </cell>
          <cell r="AB263">
            <v>0</v>
          </cell>
          <cell r="AF263">
            <v>0</v>
          </cell>
        </row>
        <row r="264">
          <cell r="C264" t="str">
            <v>3479101</v>
          </cell>
          <cell r="G264">
            <v>0</v>
          </cell>
          <cell r="I264">
            <v>0</v>
          </cell>
          <cell r="Z264">
            <v>0</v>
          </cell>
          <cell r="AB264">
            <v>0</v>
          </cell>
          <cell r="AF264">
            <v>0</v>
          </cell>
        </row>
        <row r="265">
          <cell r="C265" t="str">
            <v>3479102</v>
          </cell>
          <cell r="G265">
            <v>0</v>
          </cell>
          <cell r="I265">
            <v>0</v>
          </cell>
          <cell r="Z265">
            <v>0</v>
          </cell>
          <cell r="AB265">
            <v>0</v>
          </cell>
          <cell r="AF265">
            <v>0</v>
          </cell>
        </row>
        <row r="266">
          <cell r="C266" t="str">
            <v>3479109</v>
          </cell>
          <cell r="G266">
            <v>0</v>
          </cell>
          <cell r="I266">
            <v>0</v>
          </cell>
          <cell r="Z266">
            <v>0</v>
          </cell>
          <cell r="AB266">
            <v>0</v>
          </cell>
          <cell r="AF266">
            <v>0</v>
          </cell>
        </row>
        <row r="267">
          <cell r="C267" t="str">
            <v>3479201</v>
          </cell>
          <cell r="G267">
            <v>0</v>
          </cell>
          <cell r="I267">
            <v>0</v>
          </cell>
          <cell r="Z267">
            <v>0</v>
          </cell>
          <cell r="AB267">
            <v>0</v>
          </cell>
          <cell r="AF267">
            <v>0</v>
          </cell>
        </row>
        <row r="268">
          <cell r="C268" t="str">
            <v>3479203</v>
          </cell>
          <cell r="G268">
            <v>0</v>
          </cell>
          <cell r="I268">
            <v>0</v>
          </cell>
          <cell r="Z268">
            <v>0</v>
          </cell>
          <cell r="AB268">
            <v>0</v>
          </cell>
          <cell r="AF268">
            <v>0</v>
          </cell>
        </row>
        <row r="269">
          <cell r="C269" t="str">
            <v>3479205</v>
          </cell>
          <cell r="G269">
            <v>0</v>
          </cell>
          <cell r="I269">
            <v>0</v>
          </cell>
          <cell r="Z269">
            <v>0</v>
          </cell>
          <cell r="AB269">
            <v>0</v>
          </cell>
          <cell r="AF269">
            <v>0</v>
          </cell>
        </row>
        <row r="270">
          <cell r="C270" t="str">
            <v>3479207</v>
          </cell>
          <cell r="G270">
            <v>20.2</v>
          </cell>
          <cell r="I270">
            <v>1073116</v>
          </cell>
          <cell r="Z270">
            <v>0</v>
          </cell>
          <cell r="AB270">
            <v>0</v>
          </cell>
          <cell r="AF270">
            <v>0</v>
          </cell>
        </row>
        <row r="271">
          <cell r="C271" t="str">
            <v>3499000</v>
          </cell>
          <cell r="G271">
            <v>117</v>
          </cell>
          <cell r="I271">
            <v>256183</v>
          </cell>
          <cell r="Z271">
            <v>0</v>
          </cell>
          <cell r="AB271">
            <v>0</v>
          </cell>
          <cell r="AF271">
            <v>0</v>
          </cell>
        </row>
        <row r="272">
          <cell r="C272" t="str">
            <v>3499006</v>
          </cell>
          <cell r="G272">
            <v>0</v>
          </cell>
          <cell r="I272">
            <v>0</v>
          </cell>
          <cell r="Z272">
            <v>0</v>
          </cell>
          <cell r="AB272">
            <v>0</v>
          </cell>
          <cell r="AF272">
            <v>0</v>
          </cell>
        </row>
        <row r="273">
          <cell r="C273" t="str">
            <v>3499007</v>
          </cell>
          <cell r="G273">
            <v>0</v>
          </cell>
          <cell r="I273">
            <v>0</v>
          </cell>
          <cell r="Z273">
            <v>0</v>
          </cell>
          <cell r="AB273">
            <v>0</v>
          </cell>
          <cell r="AF273">
            <v>0</v>
          </cell>
        </row>
        <row r="274">
          <cell r="C274" t="str">
            <v>3499008</v>
          </cell>
          <cell r="G274">
            <v>0</v>
          </cell>
          <cell r="I274">
            <v>0</v>
          </cell>
          <cell r="Z274">
            <v>0</v>
          </cell>
          <cell r="AB274">
            <v>0</v>
          </cell>
          <cell r="AF274">
            <v>0</v>
          </cell>
        </row>
        <row r="275">
          <cell r="C275" t="str">
            <v>3499030</v>
          </cell>
          <cell r="G275">
            <v>0</v>
          </cell>
          <cell r="I275">
            <v>0</v>
          </cell>
          <cell r="Z275">
            <v>0</v>
          </cell>
          <cell r="AB275">
            <v>0</v>
          </cell>
          <cell r="AF275">
            <v>0</v>
          </cell>
        </row>
        <row r="276">
          <cell r="C276" t="str">
            <v>3499032</v>
          </cell>
          <cell r="G276">
            <v>1024</v>
          </cell>
          <cell r="I276">
            <v>3528844</v>
          </cell>
          <cell r="Z276">
            <v>0</v>
          </cell>
          <cell r="AB276">
            <v>0</v>
          </cell>
          <cell r="AF276">
            <v>0</v>
          </cell>
        </row>
        <row r="277">
          <cell r="C277" t="str">
            <v>3499033</v>
          </cell>
          <cell r="G277">
            <v>2240</v>
          </cell>
          <cell r="I277">
            <v>8814543</v>
          </cell>
          <cell r="Z277">
            <v>0</v>
          </cell>
          <cell r="AB277">
            <v>0</v>
          </cell>
          <cell r="AF277">
            <v>0</v>
          </cell>
        </row>
        <row r="278">
          <cell r="C278" t="str">
            <v>3499034</v>
          </cell>
          <cell r="G278">
            <v>720</v>
          </cell>
          <cell r="I278">
            <v>2761459</v>
          </cell>
          <cell r="Z278">
            <v>0</v>
          </cell>
          <cell r="AB278">
            <v>0</v>
          </cell>
          <cell r="AF278">
            <v>0</v>
          </cell>
        </row>
        <row r="279">
          <cell r="C279" t="str">
            <v>3499035</v>
          </cell>
          <cell r="G279">
            <v>0</v>
          </cell>
          <cell r="I279">
            <v>0</v>
          </cell>
          <cell r="Z279">
            <v>0</v>
          </cell>
          <cell r="AB279">
            <v>0</v>
          </cell>
          <cell r="AF279">
            <v>4324604</v>
          </cell>
        </row>
        <row r="280">
          <cell r="C280" t="str">
            <v>3499036</v>
          </cell>
          <cell r="G280">
            <v>0</v>
          </cell>
          <cell r="I280">
            <v>0</v>
          </cell>
          <cell r="Z280">
            <v>0</v>
          </cell>
          <cell r="AB280">
            <v>0</v>
          </cell>
          <cell r="AF280">
            <v>22724840</v>
          </cell>
        </row>
        <row r="281">
          <cell r="C281" t="str">
            <v>9999901</v>
          </cell>
          <cell r="G281">
            <v>0</v>
          </cell>
          <cell r="I281">
            <v>0</v>
          </cell>
          <cell r="Z281">
            <v>0</v>
          </cell>
          <cell r="AB281">
            <v>0</v>
          </cell>
          <cell r="AF281">
            <v>0</v>
          </cell>
        </row>
        <row r="282">
          <cell r="C282" t="str">
            <v>9999999</v>
          </cell>
          <cell r="G282">
            <v>0</v>
          </cell>
          <cell r="I282">
            <v>0</v>
          </cell>
          <cell r="Z282">
            <v>0</v>
          </cell>
          <cell r="AB282">
            <v>0</v>
          </cell>
          <cell r="AF282">
            <v>0</v>
          </cell>
        </row>
        <row r="283">
          <cell r="C283" t="str">
            <v>1410001</v>
          </cell>
          <cell r="G283">
            <v>0</v>
          </cell>
          <cell r="I283">
            <v>0</v>
          </cell>
          <cell r="Z283">
            <v>0</v>
          </cell>
          <cell r="AB283">
            <v>0</v>
          </cell>
          <cell r="AF283">
            <v>0</v>
          </cell>
        </row>
        <row r="284">
          <cell r="C284" t="str">
            <v>1412011</v>
          </cell>
          <cell r="G284">
            <v>8019</v>
          </cell>
          <cell r="I284">
            <v>20018298</v>
          </cell>
          <cell r="Z284">
            <v>0</v>
          </cell>
          <cell r="AB284">
            <v>0</v>
          </cell>
          <cell r="AF284">
            <v>0</v>
          </cell>
        </row>
        <row r="285">
          <cell r="C285" t="str">
            <v>1412012</v>
          </cell>
          <cell r="G285">
            <v>0</v>
          </cell>
          <cell r="I285">
            <v>0</v>
          </cell>
          <cell r="Z285">
            <v>0</v>
          </cell>
          <cell r="AB285">
            <v>0</v>
          </cell>
          <cell r="AF285">
            <v>0</v>
          </cell>
        </row>
        <row r="286">
          <cell r="C286" t="str">
            <v>1412021</v>
          </cell>
          <cell r="G286">
            <v>0</v>
          </cell>
          <cell r="I286">
            <v>0</v>
          </cell>
          <cell r="Z286">
            <v>0</v>
          </cell>
          <cell r="AB286">
            <v>0</v>
          </cell>
          <cell r="AF286">
            <v>0</v>
          </cell>
        </row>
        <row r="287">
          <cell r="C287" t="str">
            <v>1413001</v>
          </cell>
          <cell r="G287">
            <v>997</v>
          </cell>
          <cell r="I287">
            <v>2492500</v>
          </cell>
          <cell r="Z287">
            <v>0</v>
          </cell>
          <cell r="AB287">
            <v>0</v>
          </cell>
          <cell r="AF287">
            <v>0</v>
          </cell>
        </row>
        <row r="288">
          <cell r="C288" t="str">
            <v>1103001</v>
          </cell>
          <cell r="G288">
            <v>1299</v>
          </cell>
          <cell r="I288">
            <v>4300485</v>
          </cell>
          <cell r="Z288">
            <v>0</v>
          </cell>
          <cell r="AB288">
            <v>0</v>
          </cell>
          <cell r="AF288">
            <v>23742126</v>
          </cell>
        </row>
        <row r="289">
          <cell r="C289" t="str">
            <v>1103002</v>
          </cell>
          <cell r="G289">
            <v>9860</v>
          </cell>
          <cell r="I289">
            <v>27826725</v>
          </cell>
          <cell r="Z289">
            <v>3000</v>
          </cell>
          <cell r="AB289">
            <v>7970661</v>
          </cell>
          <cell r="AF289">
            <v>54446435</v>
          </cell>
        </row>
        <row r="290">
          <cell r="C290" t="str">
            <v>1103011</v>
          </cell>
          <cell r="G290">
            <v>0</v>
          </cell>
          <cell r="I290">
            <v>0</v>
          </cell>
          <cell r="Z290">
            <v>0</v>
          </cell>
          <cell r="AB290">
            <v>0</v>
          </cell>
          <cell r="AF290">
            <v>0</v>
          </cell>
        </row>
        <row r="291">
          <cell r="C291" t="str">
            <v>1103012</v>
          </cell>
          <cell r="G291">
            <v>107</v>
          </cell>
          <cell r="I291">
            <v>332302</v>
          </cell>
          <cell r="Z291">
            <v>1000</v>
          </cell>
          <cell r="AB291">
            <v>3026166</v>
          </cell>
          <cell r="AF291">
            <v>7072727</v>
          </cell>
        </row>
        <row r="292">
          <cell r="C292" t="str">
            <v>1103013</v>
          </cell>
          <cell r="G292">
            <v>27491</v>
          </cell>
          <cell r="I292">
            <v>139993877</v>
          </cell>
          <cell r="Z292">
            <v>4000</v>
          </cell>
          <cell r="AB292">
            <v>20369412</v>
          </cell>
          <cell r="AF292">
            <v>0</v>
          </cell>
        </row>
        <row r="293">
          <cell r="C293" t="str">
            <v>1103014</v>
          </cell>
          <cell r="G293">
            <v>4698</v>
          </cell>
          <cell r="I293">
            <v>14102765</v>
          </cell>
          <cell r="Z293">
            <v>0</v>
          </cell>
          <cell r="AB293">
            <v>0</v>
          </cell>
          <cell r="AF293">
            <v>0</v>
          </cell>
        </row>
        <row r="294">
          <cell r="C294" t="str">
            <v>1103015</v>
          </cell>
          <cell r="G294">
            <v>0</v>
          </cell>
          <cell r="I294">
            <v>0</v>
          </cell>
          <cell r="Z294">
            <v>0</v>
          </cell>
          <cell r="AB294">
            <v>0</v>
          </cell>
          <cell r="AF294">
            <v>0</v>
          </cell>
        </row>
        <row r="295">
          <cell r="C295" t="str">
            <v>1103016</v>
          </cell>
          <cell r="G295">
            <v>325</v>
          </cell>
          <cell r="I295">
            <v>1179218</v>
          </cell>
          <cell r="Z295">
            <v>12000</v>
          </cell>
          <cell r="AB295">
            <v>41930440</v>
          </cell>
          <cell r="AF295">
            <v>85861387</v>
          </cell>
        </row>
        <row r="296">
          <cell r="C296" t="str">
            <v>1103017</v>
          </cell>
          <cell r="G296">
            <v>120</v>
          </cell>
          <cell r="I296">
            <v>373654</v>
          </cell>
          <cell r="Z296">
            <v>0</v>
          </cell>
          <cell r="AB296">
            <v>0</v>
          </cell>
          <cell r="AF296">
            <v>0</v>
          </cell>
        </row>
        <row r="297">
          <cell r="C297" t="str">
            <v>1103021</v>
          </cell>
          <cell r="G297">
            <v>1287</v>
          </cell>
          <cell r="I297">
            <v>3265947</v>
          </cell>
          <cell r="Z297">
            <v>0</v>
          </cell>
          <cell r="AB297">
            <v>0</v>
          </cell>
          <cell r="AF297">
            <v>0</v>
          </cell>
        </row>
        <row r="298">
          <cell r="C298" t="str">
            <v>1103032</v>
          </cell>
          <cell r="G298">
            <v>423</v>
          </cell>
          <cell r="I298">
            <v>2028747</v>
          </cell>
          <cell r="Z298">
            <v>0</v>
          </cell>
          <cell r="AB298">
            <v>0</v>
          </cell>
          <cell r="AF298">
            <v>0</v>
          </cell>
        </row>
        <row r="299">
          <cell r="C299" t="str">
            <v>1103033</v>
          </cell>
          <cell r="G299">
            <v>737</v>
          </cell>
          <cell r="I299">
            <v>3364207</v>
          </cell>
          <cell r="Z299">
            <v>0</v>
          </cell>
          <cell r="AB299">
            <v>0</v>
          </cell>
          <cell r="AF299">
            <v>0</v>
          </cell>
        </row>
        <row r="300">
          <cell r="C300" t="str">
            <v>1103034</v>
          </cell>
          <cell r="G300">
            <v>5991</v>
          </cell>
          <cell r="I300">
            <v>20032320</v>
          </cell>
          <cell r="Z300">
            <v>0</v>
          </cell>
          <cell r="AB300">
            <v>0</v>
          </cell>
          <cell r="AF300">
            <v>0</v>
          </cell>
        </row>
        <row r="301">
          <cell r="C301" t="str">
            <v>1103036</v>
          </cell>
          <cell r="G301">
            <v>860</v>
          </cell>
          <cell r="I301">
            <v>5173083</v>
          </cell>
          <cell r="Z301">
            <v>0</v>
          </cell>
          <cell r="AB301">
            <v>0</v>
          </cell>
          <cell r="AF301">
            <v>0</v>
          </cell>
        </row>
        <row r="302">
          <cell r="C302" t="str">
            <v>1103037</v>
          </cell>
          <cell r="G302">
            <v>5100</v>
          </cell>
          <cell r="I302">
            <v>18598951</v>
          </cell>
          <cell r="Z302">
            <v>0</v>
          </cell>
          <cell r="AB302">
            <v>0</v>
          </cell>
          <cell r="AF302">
            <v>0</v>
          </cell>
        </row>
        <row r="303">
          <cell r="C303" t="str">
            <v>1103038</v>
          </cell>
          <cell r="G303">
            <v>0</v>
          </cell>
          <cell r="I303">
            <v>0</v>
          </cell>
          <cell r="Z303">
            <v>0</v>
          </cell>
          <cell r="AB303">
            <v>0</v>
          </cell>
          <cell r="AF303">
            <v>0</v>
          </cell>
        </row>
        <row r="304">
          <cell r="C304" t="str">
            <v>1103039</v>
          </cell>
          <cell r="G304">
            <v>0</v>
          </cell>
          <cell r="I304">
            <v>0</v>
          </cell>
          <cell r="Z304">
            <v>0</v>
          </cell>
          <cell r="AB304">
            <v>0</v>
          </cell>
          <cell r="AF304">
            <v>0</v>
          </cell>
        </row>
        <row r="305">
          <cell r="C305" t="str">
            <v>1103040</v>
          </cell>
          <cell r="G305">
            <v>0</v>
          </cell>
          <cell r="I305">
            <v>0</v>
          </cell>
          <cell r="Z305">
            <v>0</v>
          </cell>
          <cell r="AB305">
            <v>0</v>
          </cell>
          <cell r="AF305">
            <v>0</v>
          </cell>
        </row>
        <row r="306">
          <cell r="C306" t="str">
            <v>1103061</v>
          </cell>
          <cell r="G306">
            <v>52059</v>
          </cell>
          <cell r="I306">
            <v>152687906</v>
          </cell>
          <cell r="Z306">
            <v>35000</v>
          </cell>
          <cell r="AB306">
            <v>93926934</v>
          </cell>
          <cell r="AF306">
            <v>205219334</v>
          </cell>
        </row>
        <row r="307">
          <cell r="C307" t="str">
            <v>1103065</v>
          </cell>
          <cell r="G307">
            <v>2240</v>
          </cell>
          <cell r="I307">
            <v>8295422</v>
          </cell>
          <cell r="Z307">
            <v>0</v>
          </cell>
          <cell r="AB307">
            <v>0</v>
          </cell>
          <cell r="AF307">
            <v>0</v>
          </cell>
        </row>
        <row r="308">
          <cell r="C308" t="str">
            <v>1103067</v>
          </cell>
          <cell r="G308">
            <v>69433</v>
          </cell>
          <cell r="I308">
            <v>185126390</v>
          </cell>
          <cell r="Z308">
            <v>40000</v>
          </cell>
          <cell r="AB308">
            <v>103116015</v>
          </cell>
          <cell r="AF308">
            <v>337112400</v>
          </cell>
        </row>
        <row r="309">
          <cell r="C309" t="str">
            <v>1103068</v>
          </cell>
          <cell r="G309">
            <v>0</v>
          </cell>
          <cell r="I309">
            <v>0</v>
          </cell>
          <cell r="Z309">
            <v>0</v>
          </cell>
          <cell r="AB309">
            <v>0</v>
          </cell>
          <cell r="AF309">
            <v>0</v>
          </cell>
        </row>
        <row r="310">
          <cell r="C310" t="str">
            <v>1103071</v>
          </cell>
          <cell r="G310">
            <v>0</v>
          </cell>
          <cell r="I310">
            <v>0</v>
          </cell>
          <cell r="Z310">
            <v>0</v>
          </cell>
          <cell r="AB310">
            <v>0</v>
          </cell>
          <cell r="AF310">
            <v>0</v>
          </cell>
        </row>
        <row r="311">
          <cell r="C311" t="str">
            <v>1103072</v>
          </cell>
          <cell r="G311">
            <v>0</v>
          </cell>
          <cell r="I311">
            <v>0</v>
          </cell>
          <cell r="Z311">
            <v>0</v>
          </cell>
          <cell r="AB311">
            <v>0</v>
          </cell>
          <cell r="AF311">
            <v>0</v>
          </cell>
        </row>
        <row r="312">
          <cell r="C312" t="str">
            <v>1103110</v>
          </cell>
          <cell r="G312">
            <v>688</v>
          </cell>
          <cell r="I312">
            <v>1321295</v>
          </cell>
          <cell r="Z312">
            <v>0</v>
          </cell>
          <cell r="AB312">
            <v>0</v>
          </cell>
          <cell r="AF312">
            <v>0</v>
          </cell>
        </row>
        <row r="313">
          <cell r="C313" t="str">
            <v>1103200</v>
          </cell>
          <cell r="G313">
            <v>81200</v>
          </cell>
          <cell r="I313">
            <v>201871572</v>
          </cell>
          <cell r="Z313">
            <v>40000</v>
          </cell>
          <cell r="AB313">
            <v>97000410</v>
          </cell>
          <cell r="AF313">
            <v>56219845</v>
          </cell>
        </row>
        <row r="314">
          <cell r="C314" t="str">
            <v>1103201</v>
          </cell>
          <cell r="G314">
            <v>427</v>
          </cell>
          <cell r="I314">
            <v>818046</v>
          </cell>
          <cell r="Z314">
            <v>0</v>
          </cell>
          <cell r="AB314">
            <v>0</v>
          </cell>
          <cell r="AF314">
            <v>0</v>
          </cell>
        </row>
        <row r="315">
          <cell r="C315" t="str">
            <v>1103202</v>
          </cell>
          <cell r="G315">
            <v>10745</v>
          </cell>
          <cell r="I315">
            <v>24193212</v>
          </cell>
          <cell r="Z315">
            <v>10000</v>
          </cell>
          <cell r="AB315">
            <v>22515786</v>
          </cell>
          <cell r="AF315">
            <v>0</v>
          </cell>
        </row>
        <row r="316">
          <cell r="C316" t="str">
            <v>1104001</v>
          </cell>
          <cell r="G316">
            <v>5165</v>
          </cell>
          <cell r="I316">
            <v>16048281</v>
          </cell>
          <cell r="Z316">
            <v>0</v>
          </cell>
          <cell r="AB316">
            <v>0</v>
          </cell>
          <cell r="AF316">
            <v>0</v>
          </cell>
        </row>
        <row r="317">
          <cell r="C317" t="str">
            <v>1104002</v>
          </cell>
          <cell r="G317">
            <v>538</v>
          </cell>
          <cell r="I317">
            <v>538</v>
          </cell>
          <cell r="Z317">
            <v>0</v>
          </cell>
          <cell r="AB317">
            <v>0</v>
          </cell>
          <cell r="AF317">
            <v>0</v>
          </cell>
        </row>
        <row r="318">
          <cell r="C318" t="str">
            <v>1104003</v>
          </cell>
          <cell r="G318">
            <v>4023</v>
          </cell>
          <cell r="I318">
            <v>18489141</v>
          </cell>
          <cell r="Z318">
            <v>0</v>
          </cell>
          <cell r="AB318">
            <v>0</v>
          </cell>
          <cell r="AF318">
            <v>0</v>
          </cell>
        </row>
        <row r="319">
          <cell r="C319" t="str">
            <v>1104005</v>
          </cell>
          <cell r="G319">
            <v>42537</v>
          </cell>
          <cell r="I319">
            <v>101405004</v>
          </cell>
          <cell r="Z319">
            <v>0</v>
          </cell>
          <cell r="AB319">
            <v>0</v>
          </cell>
          <cell r="AF319">
            <v>0</v>
          </cell>
        </row>
        <row r="320">
          <cell r="C320" t="str">
            <v>1104006</v>
          </cell>
          <cell r="G320">
            <v>1044</v>
          </cell>
          <cell r="I320">
            <v>3907695</v>
          </cell>
          <cell r="Z320">
            <v>0</v>
          </cell>
          <cell r="AB320">
            <v>0</v>
          </cell>
          <cell r="AF320">
            <v>0</v>
          </cell>
        </row>
        <row r="321">
          <cell r="C321" t="str">
            <v>1104007</v>
          </cell>
          <cell r="G321">
            <v>0</v>
          </cell>
          <cell r="I321">
            <v>0</v>
          </cell>
          <cell r="Z321">
            <v>9461</v>
          </cell>
          <cell r="AB321">
            <v>22724840</v>
          </cell>
          <cell r="AF321">
            <v>22724840</v>
          </cell>
        </row>
        <row r="322">
          <cell r="C322" t="str">
            <v>1105002</v>
          </cell>
          <cell r="G322">
            <v>0</v>
          </cell>
          <cell r="I322">
            <v>0</v>
          </cell>
          <cell r="Z322">
            <v>0</v>
          </cell>
          <cell r="AB322">
            <v>0</v>
          </cell>
          <cell r="AF322">
            <v>0</v>
          </cell>
        </row>
        <row r="323">
          <cell r="C323" t="str">
            <v>1105004</v>
          </cell>
          <cell r="G323">
            <v>0</v>
          </cell>
          <cell r="I323">
            <v>0</v>
          </cell>
          <cell r="Z323">
            <v>0</v>
          </cell>
          <cell r="AB323">
            <v>0</v>
          </cell>
          <cell r="AF323">
            <v>0</v>
          </cell>
        </row>
        <row r="324">
          <cell r="C324" t="str">
            <v>1105010</v>
          </cell>
          <cell r="G324">
            <v>0</v>
          </cell>
          <cell r="I324">
            <v>0</v>
          </cell>
          <cell r="Z324">
            <v>0</v>
          </cell>
          <cell r="AB324">
            <v>0</v>
          </cell>
          <cell r="AF324">
            <v>0</v>
          </cell>
        </row>
        <row r="325">
          <cell r="C325" t="str">
            <v>1105011</v>
          </cell>
          <cell r="G325">
            <v>11300</v>
          </cell>
          <cell r="I325">
            <v>93384787</v>
          </cell>
          <cell r="Z325">
            <v>20000</v>
          </cell>
          <cell r="AB325">
            <v>169224875</v>
          </cell>
          <cell r="AF325">
            <v>83988266</v>
          </cell>
        </row>
        <row r="326">
          <cell r="C326" t="str">
            <v>1105012</v>
          </cell>
          <cell r="G326">
            <v>1060</v>
          </cell>
          <cell r="I326">
            <v>6956389</v>
          </cell>
          <cell r="Z326">
            <v>2451</v>
          </cell>
          <cell r="AB326">
            <v>14714697</v>
          </cell>
          <cell r="AF326">
            <v>12134895</v>
          </cell>
        </row>
        <row r="327">
          <cell r="C327" t="str">
            <v>1105013</v>
          </cell>
          <cell r="G327">
            <v>928</v>
          </cell>
          <cell r="I327">
            <v>7720519</v>
          </cell>
          <cell r="Z327">
            <v>0</v>
          </cell>
          <cell r="AB327">
            <v>0</v>
          </cell>
          <cell r="AF327">
            <v>0</v>
          </cell>
        </row>
        <row r="328">
          <cell r="C328" t="str">
            <v>1105014</v>
          </cell>
          <cell r="G328">
            <v>173</v>
          </cell>
          <cell r="I328">
            <v>1187643</v>
          </cell>
          <cell r="Z328">
            <v>0</v>
          </cell>
          <cell r="AB328">
            <v>0</v>
          </cell>
          <cell r="AF328">
            <v>0</v>
          </cell>
        </row>
        <row r="329">
          <cell r="C329" t="str">
            <v>1105015</v>
          </cell>
          <cell r="G329">
            <v>0</v>
          </cell>
          <cell r="I329">
            <v>0</v>
          </cell>
          <cell r="Z329">
            <v>0</v>
          </cell>
          <cell r="AB329">
            <v>0</v>
          </cell>
          <cell r="AF329">
            <v>0</v>
          </cell>
        </row>
        <row r="330">
          <cell r="C330" t="str">
            <v>1105016</v>
          </cell>
          <cell r="G330">
            <v>7167</v>
          </cell>
          <cell r="I330">
            <v>70607166</v>
          </cell>
          <cell r="Z330">
            <v>0</v>
          </cell>
          <cell r="AB330">
            <v>0</v>
          </cell>
          <cell r="AF330">
            <v>0</v>
          </cell>
        </row>
        <row r="331">
          <cell r="C331" t="str">
            <v>1105017</v>
          </cell>
          <cell r="G331">
            <v>0</v>
          </cell>
          <cell r="I331">
            <v>0</v>
          </cell>
          <cell r="Z331">
            <v>0</v>
          </cell>
          <cell r="AB331">
            <v>0</v>
          </cell>
          <cell r="AF331">
            <v>0</v>
          </cell>
        </row>
        <row r="332">
          <cell r="C332" t="str">
            <v>1105018</v>
          </cell>
          <cell r="G332">
            <v>199</v>
          </cell>
          <cell r="I332">
            <v>920876</v>
          </cell>
          <cell r="Z332">
            <v>0</v>
          </cell>
          <cell r="AB332">
            <v>0</v>
          </cell>
          <cell r="AF332">
            <v>0</v>
          </cell>
        </row>
        <row r="333">
          <cell r="C333" t="str">
            <v>1105019</v>
          </cell>
          <cell r="G333">
            <v>0</v>
          </cell>
          <cell r="I333">
            <v>0</v>
          </cell>
          <cell r="Z333">
            <v>0</v>
          </cell>
          <cell r="AB333">
            <v>0</v>
          </cell>
          <cell r="AF333">
            <v>0</v>
          </cell>
        </row>
        <row r="334">
          <cell r="C334" t="str">
            <v>1105020</v>
          </cell>
          <cell r="G334">
            <v>22272</v>
          </cell>
          <cell r="I334">
            <v>46179989</v>
          </cell>
          <cell r="Z334">
            <v>0</v>
          </cell>
          <cell r="AB334">
            <v>0</v>
          </cell>
          <cell r="AF334">
            <v>0</v>
          </cell>
        </row>
        <row r="335">
          <cell r="C335" t="str">
            <v>1105021</v>
          </cell>
          <cell r="G335">
            <v>0</v>
          </cell>
          <cell r="I335">
            <v>0</v>
          </cell>
          <cell r="Z335">
            <v>0</v>
          </cell>
          <cell r="AB335">
            <v>0</v>
          </cell>
          <cell r="AF335">
            <v>0</v>
          </cell>
        </row>
        <row r="336">
          <cell r="C336" t="str">
            <v>1105022</v>
          </cell>
          <cell r="G336">
            <v>0</v>
          </cell>
          <cell r="I336">
            <v>0</v>
          </cell>
          <cell r="Z336">
            <v>0</v>
          </cell>
          <cell r="AB336">
            <v>0</v>
          </cell>
          <cell r="AF336">
            <v>0</v>
          </cell>
        </row>
        <row r="337">
          <cell r="C337" t="str">
            <v>1105030</v>
          </cell>
          <cell r="G337">
            <v>545</v>
          </cell>
          <cell r="I337">
            <v>4819940</v>
          </cell>
          <cell r="Z337">
            <v>0</v>
          </cell>
          <cell r="AB337">
            <v>0</v>
          </cell>
          <cell r="AF337">
            <v>0</v>
          </cell>
        </row>
        <row r="338">
          <cell r="C338" t="str">
            <v>1106000</v>
          </cell>
          <cell r="G338">
            <v>21857</v>
          </cell>
          <cell r="I338">
            <v>51393584</v>
          </cell>
          <cell r="Z338">
            <v>0</v>
          </cell>
          <cell r="AB338">
            <v>0</v>
          </cell>
          <cell r="AF338">
            <v>0</v>
          </cell>
        </row>
        <row r="339">
          <cell r="C339" t="str">
            <v>1106005</v>
          </cell>
          <cell r="G339">
            <v>2242</v>
          </cell>
          <cell r="I339">
            <v>6090885</v>
          </cell>
          <cell r="Z339">
            <v>0</v>
          </cell>
          <cell r="AB339">
            <v>0</v>
          </cell>
          <cell r="AF339">
            <v>0</v>
          </cell>
        </row>
        <row r="340">
          <cell r="C340" t="str">
            <v>1106008</v>
          </cell>
          <cell r="G340">
            <v>514</v>
          </cell>
          <cell r="I340">
            <v>1780949</v>
          </cell>
          <cell r="Z340">
            <v>0</v>
          </cell>
          <cell r="AB340">
            <v>0</v>
          </cell>
          <cell r="AF340">
            <v>0</v>
          </cell>
        </row>
        <row r="341">
          <cell r="C341" t="str">
            <v>1106009</v>
          </cell>
          <cell r="G341">
            <v>117565</v>
          </cell>
          <cell r="I341">
            <v>410444173</v>
          </cell>
          <cell r="Z341">
            <v>80000</v>
          </cell>
          <cell r="AB341">
            <v>279296848</v>
          </cell>
          <cell r="AF341">
            <v>0</v>
          </cell>
        </row>
        <row r="342">
          <cell r="C342" t="str">
            <v>1106010</v>
          </cell>
          <cell r="G342">
            <v>2138</v>
          </cell>
          <cell r="I342">
            <v>6264193</v>
          </cell>
          <cell r="Z342">
            <v>0</v>
          </cell>
          <cell r="AB342">
            <v>0</v>
          </cell>
          <cell r="AF342">
            <v>0</v>
          </cell>
        </row>
        <row r="343">
          <cell r="C343" t="str">
            <v>1107002</v>
          </cell>
          <cell r="G343">
            <v>96280</v>
          </cell>
          <cell r="I343">
            <v>262789502</v>
          </cell>
          <cell r="Z343">
            <v>0</v>
          </cell>
          <cell r="AB343">
            <v>0</v>
          </cell>
          <cell r="AF343">
            <v>86351840</v>
          </cell>
        </row>
        <row r="344">
          <cell r="C344" t="str">
            <v>1107201</v>
          </cell>
          <cell r="G344">
            <v>0</v>
          </cell>
          <cell r="I344">
            <v>0</v>
          </cell>
          <cell r="Z344">
            <v>0</v>
          </cell>
          <cell r="AB344">
            <v>0</v>
          </cell>
          <cell r="AF344">
            <v>0</v>
          </cell>
        </row>
        <row r="345">
          <cell r="C345" t="str">
            <v>1109002</v>
          </cell>
          <cell r="G345">
            <v>52300</v>
          </cell>
          <cell r="I345">
            <v>222589536</v>
          </cell>
          <cell r="Z345">
            <v>40000</v>
          </cell>
          <cell r="AB345">
            <v>167088825</v>
          </cell>
          <cell r="AF345">
            <v>185558338</v>
          </cell>
        </row>
        <row r="346">
          <cell r="C346" t="str">
            <v>1109005</v>
          </cell>
          <cell r="G346">
            <v>0</v>
          </cell>
          <cell r="I346">
            <v>0</v>
          </cell>
          <cell r="Z346">
            <v>0</v>
          </cell>
          <cell r="AB346">
            <v>0</v>
          </cell>
          <cell r="AF346">
            <v>0</v>
          </cell>
        </row>
        <row r="347">
          <cell r="C347" t="str">
            <v>1112001</v>
          </cell>
          <cell r="G347">
            <v>0</v>
          </cell>
          <cell r="I347">
            <v>0</v>
          </cell>
          <cell r="Z347">
            <v>0</v>
          </cell>
          <cell r="AB347">
            <v>0</v>
          </cell>
          <cell r="AF347">
            <v>0</v>
          </cell>
        </row>
        <row r="348">
          <cell r="C348" t="str">
            <v>1113001</v>
          </cell>
          <cell r="G348">
            <v>0</v>
          </cell>
          <cell r="I348">
            <v>0</v>
          </cell>
          <cell r="Z348">
            <v>0</v>
          </cell>
          <cell r="AB348">
            <v>0</v>
          </cell>
          <cell r="AF348">
            <v>0</v>
          </cell>
        </row>
        <row r="349">
          <cell r="C349" t="str">
            <v>1213201</v>
          </cell>
          <cell r="G349">
            <v>0</v>
          </cell>
          <cell r="I349">
            <v>0</v>
          </cell>
          <cell r="Z349">
            <v>0</v>
          </cell>
          <cell r="AB349">
            <v>0</v>
          </cell>
          <cell r="AF349">
            <v>0</v>
          </cell>
        </row>
        <row r="350">
          <cell r="C350" t="str">
            <v>1303011</v>
          </cell>
          <cell r="G350">
            <v>0</v>
          </cell>
          <cell r="I350">
            <v>0</v>
          </cell>
          <cell r="Z350">
            <v>0</v>
          </cell>
          <cell r="AB350">
            <v>0</v>
          </cell>
          <cell r="AF350">
            <v>0</v>
          </cell>
        </row>
        <row r="351">
          <cell r="C351" t="str">
            <v>1303015</v>
          </cell>
          <cell r="G351">
            <v>0</v>
          </cell>
          <cell r="I351">
            <v>0</v>
          </cell>
          <cell r="Z351">
            <v>0</v>
          </cell>
          <cell r="AB351">
            <v>0</v>
          </cell>
          <cell r="AF351">
            <v>0</v>
          </cell>
        </row>
        <row r="352">
          <cell r="C352" t="str">
            <v>1303021</v>
          </cell>
          <cell r="G352">
            <v>0</v>
          </cell>
          <cell r="I352">
            <v>0</v>
          </cell>
          <cell r="Z352">
            <v>0</v>
          </cell>
          <cell r="AB352">
            <v>0</v>
          </cell>
          <cell r="AF352">
            <v>0</v>
          </cell>
        </row>
        <row r="353">
          <cell r="C353" t="str">
            <v>1303034</v>
          </cell>
          <cell r="G353">
            <v>460</v>
          </cell>
          <cell r="I353">
            <v>1475556</v>
          </cell>
          <cell r="Z353">
            <v>0</v>
          </cell>
          <cell r="AB353">
            <v>0</v>
          </cell>
          <cell r="AF353">
            <v>0</v>
          </cell>
        </row>
        <row r="354">
          <cell r="C354" t="str">
            <v>1303036</v>
          </cell>
          <cell r="G354">
            <v>62</v>
          </cell>
          <cell r="I354">
            <v>346607</v>
          </cell>
          <cell r="Z354">
            <v>0</v>
          </cell>
          <cell r="AB354">
            <v>0</v>
          </cell>
          <cell r="AF354">
            <v>0</v>
          </cell>
        </row>
        <row r="355">
          <cell r="C355" t="str">
            <v>1303037</v>
          </cell>
          <cell r="G355">
            <v>0</v>
          </cell>
          <cell r="I355">
            <v>0</v>
          </cell>
          <cell r="Z355">
            <v>0</v>
          </cell>
          <cell r="AB355">
            <v>0</v>
          </cell>
          <cell r="AF355">
            <v>0</v>
          </cell>
        </row>
        <row r="356">
          <cell r="C356" t="str">
            <v>1303039</v>
          </cell>
          <cell r="G356">
            <v>150</v>
          </cell>
          <cell r="I356">
            <v>767323</v>
          </cell>
          <cell r="Z356">
            <v>0</v>
          </cell>
          <cell r="AB356">
            <v>0</v>
          </cell>
          <cell r="AF356">
            <v>0</v>
          </cell>
        </row>
        <row r="357">
          <cell r="C357" t="str">
            <v>1304001</v>
          </cell>
          <cell r="G357">
            <v>174</v>
          </cell>
          <cell r="I357">
            <v>530016</v>
          </cell>
          <cell r="Z357">
            <v>0</v>
          </cell>
          <cell r="AB357">
            <v>0</v>
          </cell>
          <cell r="AF357">
            <v>0</v>
          </cell>
        </row>
        <row r="358">
          <cell r="C358" t="str">
            <v>1304002</v>
          </cell>
          <cell r="G358">
            <v>202</v>
          </cell>
          <cell r="I358">
            <v>724890</v>
          </cell>
          <cell r="Z358">
            <v>0</v>
          </cell>
          <cell r="AB358">
            <v>0</v>
          </cell>
          <cell r="AF358">
            <v>0</v>
          </cell>
        </row>
        <row r="359">
          <cell r="C359" t="str">
            <v>1304004</v>
          </cell>
          <cell r="G359">
            <v>0</v>
          </cell>
          <cell r="I359">
            <v>0</v>
          </cell>
          <cell r="Z359">
            <v>0</v>
          </cell>
          <cell r="AB359">
            <v>0</v>
          </cell>
          <cell r="AF359">
            <v>0</v>
          </cell>
        </row>
        <row r="360">
          <cell r="C360" t="str">
            <v>1305002</v>
          </cell>
          <cell r="G360">
            <v>0</v>
          </cell>
          <cell r="I360">
            <v>0</v>
          </cell>
          <cell r="Z360">
            <v>0</v>
          </cell>
          <cell r="AB360">
            <v>0</v>
          </cell>
          <cell r="AF360">
            <v>0</v>
          </cell>
        </row>
        <row r="361">
          <cell r="C361" t="str">
            <v>1306000</v>
          </cell>
          <cell r="G361">
            <v>0</v>
          </cell>
          <cell r="I361">
            <v>0</v>
          </cell>
          <cell r="Z361">
            <v>0</v>
          </cell>
          <cell r="AB361">
            <v>0</v>
          </cell>
          <cell r="AF361">
            <v>0</v>
          </cell>
        </row>
        <row r="362">
          <cell r="C362" t="str">
            <v>1306003</v>
          </cell>
          <cell r="G362">
            <v>150</v>
          </cell>
          <cell r="I362">
            <v>591149</v>
          </cell>
          <cell r="Z362">
            <v>0</v>
          </cell>
          <cell r="AB362">
            <v>0</v>
          </cell>
          <cell r="AF362">
            <v>0</v>
          </cell>
        </row>
        <row r="363">
          <cell r="C363" t="str">
            <v>1306005</v>
          </cell>
          <cell r="G363">
            <v>0</v>
          </cell>
          <cell r="I363">
            <v>0</v>
          </cell>
          <cell r="Z363">
            <v>0</v>
          </cell>
          <cell r="AB363">
            <v>0</v>
          </cell>
          <cell r="AF363">
            <v>0</v>
          </cell>
        </row>
        <row r="364">
          <cell r="C364" t="str">
            <v>1306009</v>
          </cell>
          <cell r="G364">
            <v>0</v>
          </cell>
          <cell r="I364">
            <v>0</v>
          </cell>
          <cell r="Z364">
            <v>0</v>
          </cell>
          <cell r="AB364">
            <v>0</v>
          </cell>
          <cell r="AF364">
            <v>0</v>
          </cell>
        </row>
        <row r="365">
          <cell r="C365" t="str">
            <v>1307033</v>
          </cell>
          <cell r="G365">
            <v>0</v>
          </cell>
          <cell r="I365">
            <v>0</v>
          </cell>
          <cell r="Z365">
            <v>0</v>
          </cell>
          <cell r="AB365">
            <v>0</v>
          </cell>
          <cell r="AF365">
            <v>0</v>
          </cell>
        </row>
        <row r="366">
          <cell r="C366" t="str">
            <v>1307043</v>
          </cell>
          <cell r="G366">
            <v>0</v>
          </cell>
          <cell r="I366">
            <v>0</v>
          </cell>
          <cell r="Z366">
            <v>0</v>
          </cell>
          <cell r="AB366">
            <v>0</v>
          </cell>
          <cell r="AF366">
            <v>0</v>
          </cell>
        </row>
        <row r="367">
          <cell r="C367" t="str">
            <v>1307044</v>
          </cell>
          <cell r="G367">
            <v>562</v>
          </cell>
          <cell r="I367">
            <v>2576727</v>
          </cell>
          <cell r="Z367">
            <v>0</v>
          </cell>
          <cell r="AB367">
            <v>0</v>
          </cell>
          <cell r="AF367">
            <v>0</v>
          </cell>
        </row>
        <row r="368">
          <cell r="C368" t="str">
            <v>1307051</v>
          </cell>
          <cell r="G368">
            <v>0</v>
          </cell>
          <cell r="I368">
            <v>0</v>
          </cell>
          <cell r="Z368">
            <v>0</v>
          </cell>
          <cell r="AB368">
            <v>0</v>
          </cell>
          <cell r="AF368">
            <v>0</v>
          </cell>
        </row>
        <row r="369">
          <cell r="C369" t="str">
            <v>1307054</v>
          </cell>
          <cell r="G369">
            <v>1983</v>
          </cell>
          <cell r="I369">
            <v>7413168</v>
          </cell>
          <cell r="Z369">
            <v>1983</v>
          </cell>
          <cell r="AB369">
            <v>7413168</v>
          </cell>
          <cell r="AF369">
            <v>0</v>
          </cell>
        </row>
        <row r="370">
          <cell r="C370" t="str">
            <v>1307055</v>
          </cell>
          <cell r="G370">
            <v>0</v>
          </cell>
          <cell r="I370">
            <v>0</v>
          </cell>
          <cell r="Z370">
            <v>0</v>
          </cell>
          <cell r="AB370">
            <v>0</v>
          </cell>
          <cell r="AF370">
            <v>0</v>
          </cell>
        </row>
        <row r="371">
          <cell r="C371" t="str">
            <v>1307057</v>
          </cell>
          <cell r="G371">
            <v>2706</v>
          </cell>
          <cell r="I371">
            <v>10378481</v>
          </cell>
          <cell r="Z371">
            <v>1775</v>
          </cell>
          <cell r="AB371">
            <v>6703072</v>
          </cell>
          <cell r="AF371">
            <v>18439066</v>
          </cell>
        </row>
        <row r="372">
          <cell r="C372" t="str">
            <v>1307059</v>
          </cell>
          <cell r="G372">
            <v>1764</v>
          </cell>
          <cell r="I372">
            <v>5663607</v>
          </cell>
          <cell r="Z372">
            <v>0</v>
          </cell>
          <cell r="AB372">
            <v>0</v>
          </cell>
          <cell r="AF372">
            <v>0</v>
          </cell>
        </row>
        <row r="373">
          <cell r="C373" t="str">
            <v>1307063</v>
          </cell>
          <cell r="G373">
            <v>497</v>
          </cell>
          <cell r="I373">
            <v>1731457</v>
          </cell>
          <cell r="Z373">
            <v>0</v>
          </cell>
          <cell r="AB373">
            <v>0</v>
          </cell>
          <cell r="AF373">
            <v>0</v>
          </cell>
        </row>
        <row r="374">
          <cell r="C374" t="str">
            <v>1307065</v>
          </cell>
          <cell r="G374">
            <v>958</v>
          </cell>
          <cell r="I374">
            <v>3669101</v>
          </cell>
          <cell r="Z374">
            <v>0</v>
          </cell>
          <cell r="AB374">
            <v>0</v>
          </cell>
          <cell r="AF374">
            <v>0</v>
          </cell>
        </row>
        <row r="375">
          <cell r="C375" t="str">
            <v>1307071</v>
          </cell>
          <cell r="G375">
            <v>519</v>
          </cell>
          <cell r="I375">
            <v>1722089</v>
          </cell>
          <cell r="Z375">
            <v>0</v>
          </cell>
          <cell r="AB375">
            <v>0</v>
          </cell>
          <cell r="AF375">
            <v>0</v>
          </cell>
        </row>
        <row r="376">
          <cell r="C376" t="str">
            <v>1307073</v>
          </cell>
          <cell r="G376">
            <v>0</v>
          </cell>
          <cell r="I376">
            <v>0</v>
          </cell>
          <cell r="Z376">
            <v>0</v>
          </cell>
          <cell r="AB376">
            <v>0</v>
          </cell>
          <cell r="AF376">
            <v>0</v>
          </cell>
        </row>
        <row r="377">
          <cell r="C377" t="str">
            <v>1307075</v>
          </cell>
          <cell r="G377">
            <v>1987</v>
          </cell>
          <cell r="I377">
            <v>7428352</v>
          </cell>
          <cell r="Z377">
            <v>3987</v>
          </cell>
          <cell r="AB377">
            <v>14528977</v>
          </cell>
          <cell r="AF377">
            <v>18032888</v>
          </cell>
        </row>
        <row r="378">
          <cell r="C378" t="str">
            <v>1307077</v>
          </cell>
          <cell r="G378">
            <v>2939</v>
          </cell>
          <cell r="I378">
            <v>10837228</v>
          </cell>
          <cell r="Z378">
            <v>1000</v>
          </cell>
          <cell r="AB378">
            <v>3687386</v>
          </cell>
          <cell r="AF378">
            <v>0</v>
          </cell>
        </row>
        <row r="379">
          <cell r="C379" t="str">
            <v>1307079</v>
          </cell>
          <cell r="G379">
            <v>1950</v>
          </cell>
          <cell r="I379">
            <v>7583290</v>
          </cell>
          <cell r="Z379">
            <v>0</v>
          </cell>
          <cell r="AB379">
            <v>0</v>
          </cell>
          <cell r="AF379">
            <v>0</v>
          </cell>
        </row>
        <row r="380">
          <cell r="C380" t="str">
            <v>1307081</v>
          </cell>
          <cell r="G380">
            <v>950</v>
          </cell>
          <cell r="I380">
            <v>3783938</v>
          </cell>
          <cell r="Z380">
            <v>950</v>
          </cell>
          <cell r="AB380">
            <v>3783938</v>
          </cell>
          <cell r="AF380">
            <v>0</v>
          </cell>
        </row>
        <row r="381">
          <cell r="C381" t="str">
            <v>1307083</v>
          </cell>
          <cell r="G381">
            <v>0</v>
          </cell>
          <cell r="I381">
            <v>0</v>
          </cell>
          <cell r="Z381">
            <v>0</v>
          </cell>
          <cell r="AB381">
            <v>0</v>
          </cell>
          <cell r="AF381">
            <v>0</v>
          </cell>
        </row>
        <row r="382">
          <cell r="C382" t="str">
            <v>1307087</v>
          </cell>
          <cell r="G382">
            <v>6020</v>
          </cell>
          <cell r="I382">
            <v>22629312</v>
          </cell>
          <cell r="Z382">
            <v>0</v>
          </cell>
          <cell r="AB382">
            <v>0</v>
          </cell>
          <cell r="AF382">
            <v>0</v>
          </cell>
        </row>
        <row r="383">
          <cell r="C383" t="str">
            <v>1307088</v>
          </cell>
          <cell r="G383">
            <v>0</v>
          </cell>
          <cell r="I383">
            <v>0</v>
          </cell>
          <cell r="Z383">
            <v>36</v>
          </cell>
          <cell r="AB383">
            <v>129092</v>
          </cell>
          <cell r="AF383">
            <v>666973</v>
          </cell>
        </row>
        <row r="384">
          <cell r="C384" t="str">
            <v>1307089</v>
          </cell>
          <cell r="G384">
            <v>2023</v>
          </cell>
          <cell r="I384">
            <v>7861621</v>
          </cell>
          <cell r="Z384">
            <v>0</v>
          </cell>
          <cell r="AB384">
            <v>0</v>
          </cell>
          <cell r="AF384">
            <v>0</v>
          </cell>
        </row>
        <row r="385">
          <cell r="C385" t="str">
            <v>1307171</v>
          </cell>
          <cell r="G385">
            <v>3975</v>
          </cell>
          <cell r="I385">
            <v>17190302</v>
          </cell>
          <cell r="Z385">
            <v>1000</v>
          </cell>
          <cell r="AB385">
            <v>4324604</v>
          </cell>
          <cell r="AF385">
            <v>0</v>
          </cell>
        </row>
        <row r="386">
          <cell r="C386" t="str">
            <v>1307175</v>
          </cell>
          <cell r="G386">
            <v>0</v>
          </cell>
          <cell r="I386">
            <v>0</v>
          </cell>
          <cell r="Z386">
            <v>0</v>
          </cell>
          <cell r="AB386">
            <v>0</v>
          </cell>
          <cell r="AF386">
            <v>0</v>
          </cell>
        </row>
        <row r="387">
          <cell r="C387" t="str">
            <v>1307177</v>
          </cell>
          <cell r="G387">
            <v>0</v>
          </cell>
          <cell r="I387">
            <v>0</v>
          </cell>
          <cell r="Z387">
            <v>0</v>
          </cell>
          <cell r="AB387">
            <v>0</v>
          </cell>
          <cell r="AF387">
            <v>0</v>
          </cell>
        </row>
        <row r="388">
          <cell r="C388" t="str">
            <v>1307185</v>
          </cell>
          <cell r="G388">
            <v>3900</v>
          </cell>
          <cell r="I388">
            <v>15662401</v>
          </cell>
          <cell r="Z388">
            <v>2000</v>
          </cell>
          <cell r="AB388">
            <v>8032001</v>
          </cell>
          <cell r="AF388">
            <v>0</v>
          </cell>
        </row>
        <row r="389">
          <cell r="C389" t="str">
            <v>1307201</v>
          </cell>
          <cell r="G389">
            <v>0</v>
          </cell>
          <cell r="I389">
            <v>0</v>
          </cell>
          <cell r="Z389">
            <v>0</v>
          </cell>
          <cell r="AB389">
            <v>0</v>
          </cell>
          <cell r="AF389">
            <v>0</v>
          </cell>
        </row>
        <row r="390">
          <cell r="C390" t="str">
            <v>1310001</v>
          </cell>
          <cell r="G390">
            <v>4000</v>
          </cell>
          <cell r="I390">
            <v>9614430</v>
          </cell>
          <cell r="Z390">
            <v>0</v>
          </cell>
          <cell r="AB390">
            <v>0</v>
          </cell>
          <cell r="AF390">
            <v>0</v>
          </cell>
        </row>
        <row r="391">
          <cell r="C391" t="str">
            <v>1312100</v>
          </cell>
          <cell r="G391">
            <v>0</v>
          </cell>
          <cell r="I391">
            <v>0</v>
          </cell>
          <cell r="Z391">
            <v>0</v>
          </cell>
          <cell r="AB391">
            <v>0</v>
          </cell>
          <cell r="AF391">
            <v>0</v>
          </cell>
        </row>
        <row r="392">
          <cell r="C392" t="str">
            <v>1312105</v>
          </cell>
          <cell r="G392">
            <v>0</v>
          </cell>
          <cell r="I392">
            <v>0</v>
          </cell>
          <cell r="Z392">
            <v>0</v>
          </cell>
          <cell r="AB392">
            <v>0</v>
          </cell>
          <cell r="AF392">
            <v>0</v>
          </cell>
        </row>
        <row r="393">
          <cell r="C393" t="str">
            <v>1312110</v>
          </cell>
          <cell r="G393">
            <v>18204</v>
          </cell>
          <cell r="I393">
            <v>39870585</v>
          </cell>
          <cell r="Z393">
            <v>0</v>
          </cell>
          <cell r="AB393">
            <v>0</v>
          </cell>
          <cell r="AF393">
            <v>0</v>
          </cell>
        </row>
        <row r="394">
          <cell r="C394" t="str">
            <v>1312111</v>
          </cell>
          <cell r="G394">
            <v>16000</v>
          </cell>
          <cell r="I394">
            <v>37194709</v>
          </cell>
          <cell r="Z394">
            <v>16000</v>
          </cell>
          <cell r="AB394">
            <v>37190504</v>
          </cell>
          <cell r="AF394">
            <v>37186300</v>
          </cell>
        </row>
        <row r="395">
          <cell r="C395" t="str">
            <v>1312112</v>
          </cell>
          <cell r="G395">
            <v>6000</v>
          </cell>
          <cell r="I395">
            <v>14116644</v>
          </cell>
          <cell r="Z395">
            <v>6000</v>
          </cell>
          <cell r="AB395">
            <v>14120468</v>
          </cell>
          <cell r="AF395">
            <v>14124292</v>
          </cell>
        </row>
        <row r="396">
          <cell r="C396" t="str">
            <v>1312113</v>
          </cell>
          <cell r="G396">
            <v>2000</v>
          </cell>
          <cell r="I396">
            <v>4667967</v>
          </cell>
          <cell r="Z396">
            <v>0</v>
          </cell>
          <cell r="AB396">
            <v>0</v>
          </cell>
          <cell r="AF396">
            <v>0</v>
          </cell>
        </row>
        <row r="397">
          <cell r="C397" t="str">
            <v>1312114</v>
          </cell>
          <cell r="G397">
            <v>0</v>
          </cell>
          <cell r="I397">
            <v>0</v>
          </cell>
          <cell r="Z397">
            <v>0</v>
          </cell>
          <cell r="AB397">
            <v>0</v>
          </cell>
          <cell r="AF397">
            <v>0</v>
          </cell>
        </row>
        <row r="398">
          <cell r="C398" t="str">
            <v>1313100</v>
          </cell>
          <cell r="G398">
            <v>0</v>
          </cell>
          <cell r="I398">
            <v>0</v>
          </cell>
          <cell r="Z398">
            <v>0</v>
          </cell>
          <cell r="AB398">
            <v>0</v>
          </cell>
          <cell r="AF398">
            <v>0</v>
          </cell>
        </row>
        <row r="399">
          <cell r="C399" t="str">
            <v>1313103</v>
          </cell>
          <cell r="G399">
            <v>0</v>
          </cell>
          <cell r="I399">
            <v>0</v>
          </cell>
          <cell r="Z399">
            <v>0</v>
          </cell>
          <cell r="AB399">
            <v>0</v>
          </cell>
          <cell r="AF399">
            <v>0</v>
          </cell>
        </row>
        <row r="400">
          <cell r="C400" t="str">
            <v>1313104</v>
          </cell>
          <cell r="G400">
            <v>0</v>
          </cell>
          <cell r="I400">
            <v>0</v>
          </cell>
          <cell r="Z400">
            <v>10000</v>
          </cell>
          <cell r="AB400">
            <v>23035164</v>
          </cell>
          <cell r="AF400">
            <v>23035164</v>
          </cell>
        </row>
        <row r="401">
          <cell r="C401" t="str">
            <v>1501001</v>
          </cell>
          <cell r="G401">
            <v>3041</v>
          </cell>
          <cell r="I401">
            <v>13496094</v>
          </cell>
          <cell r="Z401">
            <v>34</v>
          </cell>
          <cell r="AB401">
            <v>150993</v>
          </cell>
          <cell r="AF401">
            <v>159883</v>
          </cell>
        </row>
        <row r="402">
          <cell r="C402" t="str">
            <v>1501101</v>
          </cell>
          <cell r="G402">
            <v>4077</v>
          </cell>
          <cell r="I402">
            <v>14958031</v>
          </cell>
          <cell r="Z402">
            <v>0</v>
          </cell>
          <cell r="AB402">
            <v>0</v>
          </cell>
          <cell r="AF402">
            <v>0</v>
          </cell>
        </row>
        <row r="403">
          <cell r="C403" t="str">
            <v>1999002</v>
          </cell>
          <cell r="G403">
            <v>0</v>
          </cell>
          <cell r="I403">
            <v>0</v>
          </cell>
          <cell r="Z403">
            <v>0</v>
          </cell>
          <cell r="AB403">
            <v>0</v>
          </cell>
          <cell r="AF403">
            <v>0</v>
          </cell>
        </row>
        <row r="404">
          <cell r="C404" t="str">
            <v>1999006</v>
          </cell>
          <cell r="G404">
            <v>0</v>
          </cell>
          <cell r="I404">
            <v>0</v>
          </cell>
          <cell r="Z404">
            <v>0</v>
          </cell>
          <cell r="AB404">
            <v>0</v>
          </cell>
          <cell r="AF404">
            <v>0</v>
          </cell>
        </row>
        <row r="405">
          <cell r="C405" t="str">
            <v>1999009</v>
          </cell>
          <cell r="G405">
            <v>0</v>
          </cell>
          <cell r="I405">
            <v>0</v>
          </cell>
          <cell r="Z405">
            <v>0</v>
          </cell>
          <cell r="AB405">
            <v>0</v>
          </cell>
          <cell r="AF405">
            <v>0</v>
          </cell>
        </row>
        <row r="406">
          <cell r="C406" t="str">
            <v>1999099</v>
          </cell>
          <cell r="G406">
            <v>0</v>
          </cell>
          <cell r="I406">
            <v>0</v>
          </cell>
          <cell r="Z406">
            <v>0</v>
          </cell>
          <cell r="AB406">
            <v>0</v>
          </cell>
          <cell r="AF406">
            <v>0</v>
          </cell>
        </row>
        <row r="407">
          <cell r="G407">
            <v>2225071.06</v>
          </cell>
          <cell r="I407">
            <v>6829434089</v>
          </cell>
          <cell r="Z407">
            <v>885021.85</v>
          </cell>
          <cell r="AB407">
            <v>2820475783</v>
          </cell>
          <cell r="AF407">
            <v>2852538266</v>
          </cell>
        </row>
        <row r="408">
          <cell r="C408" t="str">
            <v>품번</v>
          </cell>
          <cell r="G408" t="str">
            <v>기초수량</v>
          </cell>
          <cell r="I408" t="str">
            <v>기초금액</v>
          </cell>
          <cell r="Z408" t="e">
            <v>#VALUE!</v>
          </cell>
          <cell r="AB408" t="e">
            <v>#VALUE!</v>
          </cell>
          <cell r="AF408" t="e">
            <v>#VALUE!</v>
          </cell>
        </row>
        <row r="409">
          <cell r="C409" t="str">
            <v>3408133</v>
          </cell>
          <cell r="G409">
            <v>0</v>
          </cell>
          <cell r="I409">
            <v>0</v>
          </cell>
          <cell r="Z409">
            <v>0</v>
          </cell>
          <cell r="AB409">
            <v>0</v>
          </cell>
          <cell r="AF409">
            <v>0</v>
          </cell>
        </row>
        <row r="410">
          <cell r="C410" t="str">
            <v>3408160</v>
          </cell>
          <cell r="G410">
            <v>0</v>
          </cell>
          <cell r="I410">
            <v>0</v>
          </cell>
          <cell r="Z410">
            <v>0</v>
          </cell>
          <cell r="AB410">
            <v>0</v>
          </cell>
          <cell r="AF410">
            <v>0</v>
          </cell>
        </row>
        <row r="411">
          <cell r="C411" t="str">
            <v>3413002</v>
          </cell>
          <cell r="G411">
            <v>0</v>
          </cell>
          <cell r="I411">
            <v>0</v>
          </cell>
          <cell r="Z411">
            <v>6236</v>
          </cell>
          <cell r="AB411">
            <v>11531035</v>
          </cell>
          <cell r="AF411">
            <v>11531035</v>
          </cell>
        </row>
        <row r="412">
          <cell r="C412" t="str">
            <v>3413007</v>
          </cell>
          <cell r="G412">
            <v>11254</v>
          </cell>
          <cell r="I412">
            <v>20840120</v>
          </cell>
          <cell r="Z412">
            <v>10792</v>
          </cell>
          <cell r="AB412">
            <v>20027321</v>
          </cell>
          <cell r="AF412">
            <v>19530000</v>
          </cell>
        </row>
        <row r="413">
          <cell r="C413" t="str">
            <v>3413008</v>
          </cell>
          <cell r="G413">
            <v>19529.599999999999</v>
          </cell>
          <cell r="I413">
            <v>39997305</v>
          </cell>
          <cell r="Z413">
            <v>3447</v>
          </cell>
          <cell r="AB413">
            <v>7059577</v>
          </cell>
          <cell r="AF413">
            <v>0</v>
          </cell>
        </row>
        <row r="414">
          <cell r="C414" t="str">
            <v>3413009</v>
          </cell>
          <cell r="G414">
            <v>0</v>
          </cell>
          <cell r="I414">
            <v>0</v>
          </cell>
          <cell r="Z414">
            <v>0</v>
          </cell>
          <cell r="AB414">
            <v>0</v>
          </cell>
          <cell r="AF414">
            <v>0</v>
          </cell>
        </row>
        <row r="415">
          <cell r="C415" t="str">
            <v>3413010</v>
          </cell>
          <cell r="G415">
            <v>25</v>
          </cell>
          <cell r="I415">
            <v>48000</v>
          </cell>
          <cell r="Z415">
            <v>0</v>
          </cell>
          <cell r="AB415">
            <v>0</v>
          </cell>
          <cell r="AF415">
            <v>0</v>
          </cell>
        </row>
        <row r="416">
          <cell r="C416" t="str">
            <v>3413101</v>
          </cell>
          <cell r="G416">
            <v>0</v>
          </cell>
          <cell r="I416">
            <v>0</v>
          </cell>
          <cell r="Z416">
            <v>0</v>
          </cell>
          <cell r="AB416">
            <v>0</v>
          </cell>
          <cell r="AF416">
            <v>0</v>
          </cell>
        </row>
        <row r="417">
          <cell r="C417" t="str">
            <v>3413107</v>
          </cell>
          <cell r="G417">
            <v>0</v>
          </cell>
          <cell r="I417">
            <v>0</v>
          </cell>
          <cell r="Z417">
            <v>0</v>
          </cell>
          <cell r="AB417">
            <v>0</v>
          </cell>
          <cell r="AF417">
            <v>0</v>
          </cell>
        </row>
        <row r="418">
          <cell r="C418" t="str">
            <v>3413121</v>
          </cell>
          <cell r="G418">
            <v>12.5</v>
          </cell>
          <cell r="I418">
            <v>15000</v>
          </cell>
          <cell r="Z418">
            <v>0</v>
          </cell>
          <cell r="AB418">
            <v>0</v>
          </cell>
          <cell r="AF418">
            <v>0</v>
          </cell>
        </row>
        <row r="419">
          <cell r="C419" t="str">
            <v>3413151</v>
          </cell>
          <cell r="G419">
            <v>0</v>
          </cell>
          <cell r="I419">
            <v>0</v>
          </cell>
          <cell r="Z419">
            <v>0</v>
          </cell>
          <cell r="AB419">
            <v>0</v>
          </cell>
          <cell r="AF419">
            <v>0</v>
          </cell>
        </row>
        <row r="420">
          <cell r="C420" t="str">
            <v>3413201</v>
          </cell>
          <cell r="G420">
            <v>2048</v>
          </cell>
          <cell r="I420">
            <v>5232285</v>
          </cell>
          <cell r="Z420">
            <v>205</v>
          </cell>
          <cell r="AB420">
            <v>517423</v>
          </cell>
          <cell r="AF420">
            <v>0</v>
          </cell>
        </row>
        <row r="421">
          <cell r="C421" t="str">
            <v>3413301</v>
          </cell>
          <cell r="G421">
            <v>384</v>
          </cell>
          <cell r="I421">
            <v>684248</v>
          </cell>
          <cell r="Z421">
            <v>0</v>
          </cell>
          <cell r="AB421">
            <v>0</v>
          </cell>
          <cell r="AF421">
            <v>0</v>
          </cell>
        </row>
        <row r="422">
          <cell r="C422" t="str">
            <v>3413303</v>
          </cell>
          <cell r="G422">
            <v>0</v>
          </cell>
          <cell r="I422">
            <v>0</v>
          </cell>
          <cell r="Z422">
            <v>0</v>
          </cell>
          <cell r="AB422">
            <v>0</v>
          </cell>
          <cell r="AF422">
            <v>0</v>
          </cell>
        </row>
        <row r="423">
          <cell r="C423" t="str">
            <v>3413304</v>
          </cell>
          <cell r="G423">
            <v>0</v>
          </cell>
          <cell r="I423">
            <v>0</v>
          </cell>
          <cell r="Z423">
            <v>0</v>
          </cell>
          <cell r="AB423">
            <v>0</v>
          </cell>
          <cell r="AF423">
            <v>0</v>
          </cell>
        </row>
        <row r="424">
          <cell r="C424" t="str">
            <v>3413305</v>
          </cell>
          <cell r="G424">
            <v>54450</v>
          </cell>
          <cell r="I424">
            <v>80497770</v>
          </cell>
          <cell r="Z424">
            <v>41730</v>
          </cell>
          <cell r="AB424">
            <v>61542997</v>
          </cell>
          <cell r="AF424">
            <v>59976000</v>
          </cell>
        </row>
        <row r="425">
          <cell r="C425" t="str">
            <v>3413306</v>
          </cell>
          <cell r="G425">
            <v>101</v>
          </cell>
          <cell r="I425">
            <v>180219</v>
          </cell>
          <cell r="Z425">
            <v>0</v>
          </cell>
          <cell r="AB425">
            <v>0</v>
          </cell>
          <cell r="AF425">
            <v>0</v>
          </cell>
        </row>
        <row r="426">
          <cell r="C426" t="str">
            <v>3413307</v>
          </cell>
          <cell r="G426">
            <v>0</v>
          </cell>
          <cell r="I426">
            <v>0</v>
          </cell>
          <cell r="Z426">
            <v>0</v>
          </cell>
          <cell r="AB426">
            <v>0</v>
          </cell>
          <cell r="AF426">
            <v>0</v>
          </cell>
        </row>
        <row r="427">
          <cell r="C427" t="str">
            <v>3413308</v>
          </cell>
          <cell r="G427">
            <v>0</v>
          </cell>
          <cell r="I427">
            <v>0</v>
          </cell>
          <cell r="Z427">
            <v>0</v>
          </cell>
          <cell r="AB427">
            <v>0</v>
          </cell>
          <cell r="AF427">
            <v>0</v>
          </cell>
        </row>
        <row r="428">
          <cell r="C428" t="str">
            <v>3413351</v>
          </cell>
          <cell r="G428">
            <v>0</v>
          </cell>
          <cell r="I428">
            <v>0</v>
          </cell>
          <cell r="Z428">
            <v>0</v>
          </cell>
          <cell r="AB428">
            <v>0</v>
          </cell>
          <cell r="AF428">
            <v>0</v>
          </cell>
        </row>
        <row r="429">
          <cell r="C429" t="str">
            <v>3413361</v>
          </cell>
          <cell r="G429">
            <v>0</v>
          </cell>
          <cell r="I429">
            <v>0</v>
          </cell>
          <cell r="Z429">
            <v>0</v>
          </cell>
          <cell r="AB429">
            <v>0</v>
          </cell>
          <cell r="AF429">
            <v>0</v>
          </cell>
        </row>
        <row r="430">
          <cell r="C430" t="str">
            <v>3413371</v>
          </cell>
          <cell r="G430">
            <v>11920.17</v>
          </cell>
          <cell r="I430">
            <v>22163455</v>
          </cell>
          <cell r="Z430">
            <v>12891</v>
          </cell>
          <cell r="AB430">
            <v>23810768</v>
          </cell>
          <cell r="AF430">
            <v>20375218</v>
          </cell>
        </row>
        <row r="431">
          <cell r="C431" t="str">
            <v>3414121</v>
          </cell>
          <cell r="G431">
            <v>1232</v>
          </cell>
          <cell r="I431">
            <v>3995989</v>
          </cell>
          <cell r="Z431">
            <v>945</v>
          </cell>
          <cell r="AB431">
            <v>3065105</v>
          </cell>
          <cell r="AF431">
            <v>0</v>
          </cell>
        </row>
        <row r="432">
          <cell r="C432" t="str">
            <v>3415114</v>
          </cell>
          <cell r="G432">
            <v>3497</v>
          </cell>
          <cell r="I432">
            <v>11702051</v>
          </cell>
          <cell r="Z432">
            <v>2024</v>
          </cell>
          <cell r="AB432">
            <v>6686256</v>
          </cell>
          <cell r="AF432">
            <v>9100000</v>
          </cell>
        </row>
        <row r="433">
          <cell r="C433" t="str">
            <v>3416022</v>
          </cell>
          <cell r="G433">
            <v>0</v>
          </cell>
          <cell r="I433">
            <v>0</v>
          </cell>
          <cell r="Z433">
            <v>0</v>
          </cell>
          <cell r="AB433">
            <v>0</v>
          </cell>
          <cell r="AF433">
            <v>0</v>
          </cell>
        </row>
        <row r="434">
          <cell r="C434" t="str">
            <v>3422050</v>
          </cell>
          <cell r="G434">
            <v>0</v>
          </cell>
          <cell r="I434">
            <v>0</v>
          </cell>
          <cell r="Z434">
            <v>0</v>
          </cell>
          <cell r="AB434">
            <v>0</v>
          </cell>
          <cell r="AF434">
            <v>0</v>
          </cell>
        </row>
        <row r="435">
          <cell r="C435" t="str">
            <v>3425010</v>
          </cell>
          <cell r="G435">
            <v>0</v>
          </cell>
          <cell r="I435">
            <v>0</v>
          </cell>
          <cell r="Z435">
            <v>0</v>
          </cell>
          <cell r="AB435">
            <v>0</v>
          </cell>
          <cell r="AF435">
            <v>0</v>
          </cell>
        </row>
        <row r="436">
          <cell r="C436" t="str">
            <v>3428001</v>
          </cell>
          <cell r="G436">
            <v>0</v>
          </cell>
          <cell r="I436">
            <v>0</v>
          </cell>
          <cell r="Z436">
            <v>0</v>
          </cell>
          <cell r="AB436">
            <v>0</v>
          </cell>
          <cell r="AF436">
            <v>0</v>
          </cell>
        </row>
        <row r="437">
          <cell r="C437" t="str">
            <v>3429001</v>
          </cell>
          <cell r="G437">
            <v>0</v>
          </cell>
          <cell r="I437">
            <v>0</v>
          </cell>
          <cell r="Z437">
            <v>0</v>
          </cell>
          <cell r="AB437">
            <v>0</v>
          </cell>
          <cell r="AF437">
            <v>0</v>
          </cell>
        </row>
        <row r="438">
          <cell r="C438" t="str">
            <v>3429003</v>
          </cell>
          <cell r="G438">
            <v>0</v>
          </cell>
          <cell r="I438">
            <v>0</v>
          </cell>
          <cell r="Z438">
            <v>0</v>
          </cell>
          <cell r="AB438">
            <v>0</v>
          </cell>
          <cell r="AF438">
            <v>0</v>
          </cell>
        </row>
        <row r="439">
          <cell r="C439" t="str">
            <v>3429005</v>
          </cell>
          <cell r="G439">
            <v>0</v>
          </cell>
          <cell r="I439">
            <v>0</v>
          </cell>
          <cell r="Z439">
            <v>0</v>
          </cell>
          <cell r="AB439">
            <v>0</v>
          </cell>
          <cell r="AF439">
            <v>0</v>
          </cell>
        </row>
        <row r="440">
          <cell r="C440" t="str">
            <v>3429009</v>
          </cell>
          <cell r="G440">
            <v>258.18</v>
          </cell>
          <cell r="I440">
            <v>609304</v>
          </cell>
          <cell r="Z440">
            <v>57.55</v>
          </cell>
          <cell r="AB440">
            <v>135818</v>
          </cell>
          <cell r="AF440">
            <v>0</v>
          </cell>
        </row>
        <row r="441">
          <cell r="C441" t="str">
            <v>3429011</v>
          </cell>
          <cell r="G441">
            <v>0</v>
          </cell>
          <cell r="I441">
            <v>0</v>
          </cell>
          <cell r="Z441">
            <v>0</v>
          </cell>
          <cell r="AB441">
            <v>0</v>
          </cell>
          <cell r="AF441">
            <v>0</v>
          </cell>
        </row>
        <row r="442">
          <cell r="C442" t="str">
            <v>3429013</v>
          </cell>
          <cell r="G442">
            <v>0</v>
          </cell>
          <cell r="I442">
            <v>0</v>
          </cell>
          <cell r="Z442">
            <v>0</v>
          </cell>
          <cell r="AB442">
            <v>0</v>
          </cell>
          <cell r="AF442">
            <v>0</v>
          </cell>
        </row>
        <row r="443">
          <cell r="C443" t="str">
            <v>3429015</v>
          </cell>
          <cell r="G443">
            <v>0</v>
          </cell>
          <cell r="I443">
            <v>0</v>
          </cell>
          <cell r="Z443">
            <v>0</v>
          </cell>
          <cell r="AB443">
            <v>0</v>
          </cell>
          <cell r="AF443">
            <v>0</v>
          </cell>
        </row>
        <row r="444">
          <cell r="C444" t="str">
            <v>3429017</v>
          </cell>
          <cell r="G444">
            <v>0</v>
          </cell>
          <cell r="I444">
            <v>0</v>
          </cell>
          <cell r="Z444">
            <v>0</v>
          </cell>
          <cell r="AB444">
            <v>0</v>
          </cell>
          <cell r="AF444">
            <v>0</v>
          </cell>
        </row>
        <row r="445">
          <cell r="C445" t="str">
            <v>3429018</v>
          </cell>
          <cell r="G445">
            <v>0</v>
          </cell>
          <cell r="I445">
            <v>0</v>
          </cell>
          <cell r="Z445">
            <v>0</v>
          </cell>
          <cell r="AB445">
            <v>0</v>
          </cell>
          <cell r="AF445">
            <v>0</v>
          </cell>
        </row>
        <row r="446">
          <cell r="C446" t="str">
            <v>3429020</v>
          </cell>
          <cell r="G446">
            <v>19.489999999999998</v>
          </cell>
          <cell r="I446">
            <v>779600</v>
          </cell>
          <cell r="Z446">
            <v>0.17</v>
          </cell>
          <cell r="AB446">
            <v>6800</v>
          </cell>
          <cell r="AF446">
            <v>0</v>
          </cell>
        </row>
        <row r="447">
          <cell r="C447" t="str">
            <v>3429022</v>
          </cell>
          <cell r="G447">
            <v>0</v>
          </cell>
          <cell r="I447">
            <v>0</v>
          </cell>
          <cell r="Z447">
            <v>0</v>
          </cell>
          <cell r="AB447">
            <v>0</v>
          </cell>
          <cell r="AF447">
            <v>0</v>
          </cell>
        </row>
        <row r="448">
          <cell r="C448" t="str">
            <v>3429023</v>
          </cell>
          <cell r="G448">
            <v>0</v>
          </cell>
          <cell r="I448">
            <v>0</v>
          </cell>
          <cell r="Z448">
            <v>0</v>
          </cell>
          <cell r="AB448">
            <v>0</v>
          </cell>
          <cell r="AF448">
            <v>0</v>
          </cell>
        </row>
        <row r="449">
          <cell r="C449" t="str">
            <v>3429024</v>
          </cell>
          <cell r="G449">
            <v>0</v>
          </cell>
          <cell r="I449">
            <v>0</v>
          </cell>
          <cell r="Z449">
            <v>0</v>
          </cell>
          <cell r="AB449">
            <v>0</v>
          </cell>
          <cell r="AF449">
            <v>0</v>
          </cell>
        </row>
        <row r="450">
          <cell r="C450" t="str">
            <v>3429025</v>
          </cell>
          <cell r="G450">
            <v>0</v>
          </cell>
          <cell r="I450">
            <v>0</v>
          </cell>
          <cell r="Z450">
            <v>0</v>
          </cell>
          <cell r="AB450">
            <v>0</v>
          </cell>
          <cell r="AF450">
            <v>0</v>
          </cell>
        </row>
        <row r="451">
          <cell r="C451" t="str">
            <v>3429101</v>
          </cell>
          <cell r="G451">
            <v>0</v>
          </cell>
          <cell r="I451">
            <v>0</v>
          </cell>
          <cell r="Z451">
            <v>0</v>
          </cell>
          <cell r="AB451">
            <v>0</v>
          </cell>
          <cell r="AF451">
            <v>0</v>
          </cell>
        </row>
        <row r="452">
          <cell r="C452" t="str">
            <v>3429106</v>
          </cell>
          <cell r="G452">
            <v>242</v>
          </cell>
          <cell r="I452">
            <v>3025000</v>
          </cell>
          <cell r="Z452">
            <v>938</v>
          </cell>
          <cell r="AB452">
            <v>11725000</v>
          </cell>
          <cell r="AF452">
            <v>10000000</v>
          </cell>
        </row>
        <row r="453">
          <cell r="C453" t="str">
            <v>3453002</v>
          </cell>
          <cell r="G453">
            <v>0</v>
          </cell>
          <cell r="I453">
            <v>0</v>
          </cell>
          <cell r="Z453">
            <v>0</v>
          </cell>
          <cell r="AB453">
            <v>0</v>
          </cell>
          <cell r="AF453">
            <v>0</v>
          </cell>
        </row>
        <row r="454">
          <cell r="C454" t="str">
            <v>3458010</v>
          </cell>
          <cell r="G454">
            <v>0</v>
          </cell>
          <cell r="I454">
            <v>0</v>
          </cell>
          <cell r="Z454">
            <v>0</v>
          </cell>
          <cell r="AB454">
            <v>0</v>
          </cell>
          <cell r="AF454">
            <v>0</v>
          </cell>
        </row>
        <row r="455">
          <cell r="C455" t="str">
            <v>3479050</v>
          </cell>
          <cell r="G455">
            <v>0</v>
          </cell>
          <cell r="I455">
            <v>0</v>
          </cell>
          <cell r="Z455">
            <v>0</v>
          </cell>
          <cell r="AB455">
            <v>0</v>
          </cell>
          <cell r="AF455">
            <v>0</v>
          </cell>
        </row>
        <row r="456">
          <cell r="C456" t="str">
            <v>3479068</v>
          </cell>
          <cell r="G456">
            <v>795</v>
          </cell>
          <cell r="I456">
            <v>1028859</v>
          </cell>
          <cell r="Z456">
            <v>0</v>
          </cell>
          <cell r="AB456">
            <v>0</v>
          </cell>
          <cell r="AF456">
            <v>0</v>
          </cell>
        </row>
        <row r="457">
          <cell r="C457" t="str">
            <v>3479069</v>
          </cell>
          <cell r="G457">
            <v>518</v>
          </cell>
          <cell r="I457">
            <v>1118880</v>
          </cell>
          <cell r="Z457">
            <v>0</v>
          </cell>
          <cell r="AB457">
            <v>0</v>
          </cell>
          <cell r="AF457">
            <v>0</v>
          </cell>
        </row>
        <row r="458">
          <cell r="C458" t="str">
            <v>3479070</v>
          </cell>
          <cell r="G458">
            <v>476.5</v>
          </cell>
          <cell r="I458">
            <v>159975</v>
          </cell>
          <cell r="Z458">
            <v>0</v>
          </cell>
          <cell r="AB458">
            <v>0</v>
          </cell>
          <cell r="AF458">
            <v>0</v>
          </cell>
        </row>
        <row r="459">
          <cell r="C459" t="str">
            <v>3479071</v>
          </cell>
          <cell r="G459">
            <v>0</v>
          </cell>
          <cell r="I459">
            <v>0</v>
          </cell>
          <cell r="Z459">
            <v>0</v>
          </cell>
          <cell r="AB459">
            <v>0</v>
          </cell>
          <cell r="AF459">
            <v>0</v>
          </cell>
        </row>
        <row r="460">
          <cell r="C460" t="str">
            <v>3499031</v>
          </cell>
          <cell r="G460">
            <v>0</v>
          </cell>
          <cell r="I460">
            <v>0</v>
          </cell>
          <cell r="Z460">
            <v>0</v>
          </cell>
          <cell r="AB460">
            <v>0</v>
          </cell>
          <cell r="AF460">
            <v>0</v>
          </cell>
        </row>
        <row r="461">
          <cell r="C461" t="str">
            <v>9999999</v>
          </cell>
          <cell r="G461">
            <v>0</v>
          </cell>
          <cell r="I461">
            <v>0</v>
          </cell>
          <cell r="Z461">
            <v>0</v>
          </cell>
          <cell r="AB461">
            <v>0</v>
          </cell>
          <cell r="AF461">
            <v>0</v>
          </cell>
        </row>
        <row r="462">
          <cell r="C462" t="str">
            <v>1409102</v>
          </cell>
          <cell r="G462">
            <v>0</v>
          </cell>
          <cell r="I462">
            <v>0</v>
          </cell>
          <cell r="Z462">
            <v>0</v>
          </cell>
          <cell r="AB462">
            <v>0</v>
          </cell>
          <cell r="AF462">
            <v>0</v>
          </cell>
        </row>
        <row r="463">
          <cell r="C463" t="str">
            <v>1213102</v>
          </cell>
          <cell r="G463">
            <v>17228</v>
          </cell>
          <cell r="I463">
            <v>34175818</v>
          </cell>
          <cell r="Z463">
            <v>14632</v>
          </cell>
          <cell r="AB463">
            <v>29026037</v>
          </cell>
          <cell r="AF463">
            <v>0</v>
          </cell>
        </row>
        <row r="464">
          <cell r="C464" t="str">
            <v>1213104</v>
          </cell>
          <cell r="G464">
            <v>3584</v>
          </cell>
          <cell r="I464">
            <v>6712438</v>
          </cell>
          <cell r="Z464">
            <v>3584</v>
          </cell>
          <cell r="AB464">
            <v>6712438</v>
          </cell>
          <cell r="AF464">
            <v>0</v>
          </cell>
        </row>
        <row r="465">
          <cell r="C465" t="str">
            <v>1213105</v>
          </cell>
          <cell r="G465">
            <v>740</v>
          </cell>
          <cell r="I465">
            <v>1335541</v>
          </cell>
          <cell r="Z465">
            <v>0</v>
          </cell>
          <cell r="AB465">
            <v>0</v>
          </cell>
          <cell r="AF465">
            <v>0</v>
          </cell>
        </row>
        <row r="466">
          <cell r="C466" t="str">
            <v>1213201</v>
          </cell>
          <cell r="G466">
            <v>13132</v>
          </cell>
          <cell r="I466">
            <v>24413456</v>
          </cell>
          <cell r="Z466">
            <v>18524</v>
          </cell>
          <cell r="AB466">
            <v>34221462</v>
          </cell>
          <cell r="AF466">
            <v>34068222</v>
          </cell>
        </row>
        <row r="467">
          <cell r="C467" t="str">
            <v>1213202</v>
          </cell>
          <cell r="G467">
            <v>35844</v>
          </cell>
          <cell r="I467">
            <v>65692728</v>
          </cell>
          <cell r="Z467">
            <v>35728</v>
          </cell>
          <cell r="AB467">
            <v>65437206</v>
          </cell>
          <cell r="AF467">
            <v>80266236</v>
          </cell>
        </row>
        <row r="468">
          <cell r="C468" t="str">
            <v>1213204</v>
          </cell>
          <cell r="G468">
            <v>0</v>
          </cell>
          <cell r="I468">
            <v>0</v>
          </cell>
          <cell r="Z468">
            <v>0</v>
          </cell>
          <cell r="AB468">
            <v>0</v>
          </cell>
          <cell r="AF468">
            <v>0</v>
          </cell>
        </row>
        <row r="469">
          <cell r="C469" t="str">
            <v>1213206</v>
          </cell>
          <cell r="G469">
            <v>110</v>
          </cell>
          <cell r="I469">
            <v>193117</v>
          </cell>
          <cell r="Z469">
            <v>110</v>
          </cell>
          <cell r="AB469">
            <v>193117</v>
          </cell>
          <cell r="AF469">
            <v>0</v>
          </cell>
        </row>
        <row r="470">
          <cell r="C470" t="str">
            <v>1213207</v>
          </cell>
          <cell r="G470">
            <v>0</v>
          </cell>
          <cell r="I470">
            <v>0</v>
          </cell>
          <cell r="Z470">
            <v>1100</v>
          </cell>
          <cell r="AB470">
            <v>2034176</v>
          </cell>
          <cell r="AF470">
            <v>2034176</v>
          </cell>
        </row>
        <row r="471">
          <cell r="C471" t="str">
            <v>1503101</v>
          </cell>
          <cell r="G471">
            <v>0</v>
          </cell>
          <cell r="I471">
            <v>0</v>
          </cell>
          <cell r="Z471">
            <v>0</v>
          </cell>
          <cell r="AB471">
            <v>0</v>
          </cell>
          <cell r="AF471">
            <v>0</v>
          </cell>
        </row>
        <row r="472">
          <cell r="G472">
            <v>177400.44</v>
          </cell>
          <cell r="I472">
            <v>324601158</v>
          </cell>
          <cell r="Z472">
            <v>152943.72</v>
          </cell>
          <cell r="AB472">
            <v>283732536</v>
          </cell>
          <cell r="AF472">
            <v>246880887</v>
          </cell>
        </row>
      </sheetData>
      <sheetData sheetId="9">
        <row r="1">
          <cell r="O1" t="str">
            <v>단위사용량</v>
          </cell>
          <cell r="P1" t="str">
            <v>사용량</v>
          </cell>
          <cell r="Q1" t="str">
            <v>사용단가</v>
          </cell>
          <cell r="R1" t="str">
            <v>사용금액</v>
          </cell>
        </row>
        <row r="2">
          <cell r="A2" t="str">
            <v>11030133402105</v>
          </cell>
          <cell r="O2">
            <v>0.68662500000000004</v>
          </cell>
          <cell r="P2">
            <v>16525</v>
          </cell>
          <cell r="Q2">
            <v>4220.5814819999996</v>
          </cell>
          <cell r="R2">
            <v>69745109</v>
          </cell>
        </row>
        <row r="3">
          <cell r="A3" t="str">
            <v>11030133414101</v>
          </cell>
          <cell r="O3">
            <v>3.8434000000000003E-2</v>
          </cell>
          <cell r="P3">
            <v>925</v>
          </cell>
          <cell r="Q3">
            <v>3869.2562160000002</v>
          </cell>
          <cell r="R3">
            <v>3579062</v>
          </cell>
        </row>
        <row r="4">
          <cell r="A4" t="str">
            <v>11030133451051</v>
          </cell>
          <cell r="O4">
            <v>1.4959999999999999E-3</v>
          </cell>
          <cell r="P4">
            <v>36</v>
          </cell>
          <cell r="Q4">
            <v>6198.4722220000003</v>
          </cell>
          <cell r="R4">
            <v>223145</v>
          </cell>
        </row>
        <row r="5">
          <cell r="A5" t="str">
            <v>11030133455003</v>
          </cell>
          <cell r="O5">
            <v>5.4764E-2</v>
          </cell>
          <cell r="P5">
            <v>1318</v>
          </cell>
          <cell r="Q5">
            <v>1237.452959</v>
          </cell>
          <cell r="R5">
            <v>1630963</v>
          </cell>
        </row>
        <row r="6">
          <cell r="A6" t="str">
            <v>11030133456003</v>
          </cell>
          <cell r="O6">
            <v>1.9737000000000001E-2</v>
          </cell>
          <cell r="P6">
            <v>475</v>
          </cell>
          <cell r="Q6">
            <v>3580.7263149999999</v>
          </cell>
          <cell r="R6">
            <v>1700845</v>
          </cell>
        </row>
        <row r="7">
          <cell r="A7" t="str">
            <v>11030133457012</v>
          </cell>
          <cell r="O7">
            <v>7.1467000000000003E-2</v>
          </cell>
          <cell r="P7">
            <v>1720</v>
          </cell>
          <cell r="Q7">
            <v>19349.722674000001</v>
          </cell>
          <cell r="R7">
            <v>33281523</v>
          </cell>
        </row>
        <row r="8">
          <cell r="A8" t="str">
            <v>11030133457042</v>
          </cell>
          <cell r="O8">
            <v>4.1549999999999998E-3</v>
          </cell>
          <cell r="P8">
            <v>100</v>
          </cell>
          <cell r="Q8">
            <v>15048.93</v>
          </cell>
          <cell r="R8">
            <v>1504893</v>
          </cell>
        </row>
        <row r="9">
          <cell r="A9" t="str">
            <v>11030133460001</v>
          </cell>
          <cell r="O9">
            <v>1.9737000000000001E-2</v>
          </cell>
          <cell r="P9">
            <v>475</v>
          </cell>
          <cell r="Q9">
            <v>15990.378946999999</v>
          </cell>
          <cell r="R9">
            <v>7595430</v>
          </cell>
        </row>
        <row r="10">
          <cell r="A10" t="str">
            <v>11030133462001</v>
          </cell>
          <cell r="O10">
            <v>9.8641000000000006E-2</v>
          </cell>
          <cell r="P10">
            <v>2374</v>
          </cell>
          <cell r="Q10">
            <v>872.19460800000002</v>
          </cell>
          <cell r="R10">
            <v>2070590</v>
          </cell>
        </row>
        <row r="11">
          <cell r="A11" t="str">
            <v>11030133479021</v>
          </cell>
          <cell r="O11">
            <v>4.9449999999999997E-3</v>
          </cell>
          <cell r="P11">
            <v>119</v>
          </cell>
          <cell r="Q11">
            <v>5000</v>
          </cell>
          <cell r="R11">
            <v>595000</v>
          </cell>
        </row>
        <row r="12">
          <cell r="A12" t="str">
            <v>소계</v>
          </cell>
          <cell r="P12">
            <v>24067</v>
          </cell>
          <cell r="R12">
            <v>121926560</v>
          </cell>
        </row>
        <row r="13">
          <cell r="A13" t="str">
            <v>11030613402105</v>
          </cell>
          <cell r="O13">
            <v>4.3941000000000001E-2</v>
          </cell>
          <cell r="P13">
            <v>2425</v>
          </cell>
          <cell r="Q13">
            <v>4220.581443</v>
          </cell>
          <cell r="R13">
            <v>10234910</v>
          </cell>
        </row>
        <row r="14">
          <cell r="A14" t="str">
            <v>11030613403303</v>
          </cell>
          <cell r="O14">
            <v>0.35061999999999999</v>
          </cell>
          <cell r="P14">
            <v>19350</v>
          </cell>
          <cell r="Q14">
            <v>1887.68677</v>
          </cell>
          <cell r="R14">
            <v>36526739</v>
          </cell>
        </row>
        <row r="15">
          <cell r="A15" t="str">
            <v>11030613403311</v>
          </cell>
          <cell r="O15">
            <v>0.13182199999999999</v>
          </cell>
          <cell r="P15">
            <v>7275</v>
          </cell>
          <cell r="Q15">
            <v>2588.832989</v>
          </cell>
          <cell r="R15">
            <v>18833760</v>
          </cell>
        </row>
        <row r="16">
          <cell r="A16" t="str">
            <v>11030613403313</v>
          </cell>
          <cell r="O16">
            <v>0.307585</v>
          </cell>
          <cell r="P16">
            <v>16975</v>
          </cell>
          <cell r="Q16">
            <v>1667.881885</v>
          </cell>
          <cell r="R16">
            <v>28312295</v>
          </cell>
        </row>
        <row r="17">
          <cell r="A17" t="str">
            <v>11030613414086</v>
          </cell>
          <cell r="O17">
            <v>3.9047999999999999E-2</v>
          </cell>
          <cell r="P17">
            <v>2155</v>
          </cell>
          <cell r="Q17">
            <v>4596.6097440000003</v>
          </cell>
          <cell r="R17">
            <v>9905694</v>
          </cell>
        </row>
        <row r="18">
          <cell r="A18" t="str">
            <v>11030613457015</v>
          </cell>
          <cell r="O18">
            <v>1.3481E-2</v>
          </cell>
          <cell r="P18">
            <v>744</v>
          </cell>
          <cell r="Q18">
            <v>15165.700268000001</v>
          </cell>
          <cell r="R18">
            <v>11283281</v>
          </cell>
        </row>
        <row r="19">
          <cell r="A19" t="str">
            <v>11030613457061</v>
          </cell>
          <cell r="O19">
            <v>4.8326000000000001E-2</v>
          </cell>
          <cell r="P19">
            <v>2667</v>
          </cell>
          <cell r="Q19">
            <v>16707.151856</v>
          </cell>
          <cell r="R19">
            <v>44557974</v>
          </cell>
        </row>
        <row r="20">
          <cell r="A20" t="str">
            <v>11030613459028</v>
          </cell>
          <cell r="O20">
            <v>6.5176999999999999E-2</v>
          </cell>
          <cell r="P20">
            <v>3597</v>
          </cell>
          <cell r="Q20">
            <v>1687.2813450000001</v>
          </cell>
          <cell r="R20">
            <v>6069151</v>
          </cell>
        </row>
        <row r="21">
          <cell r="A21" t="str">
            <v>소계</v>
          </cell>
          <cell r="P21">
            <v>55188</v>
          </cell>
          <cell r="R21">
            <v>165723804</v>
          </cell>
        </row>
        <row r="22">
          <cell r="A22" t="str">
            <v>11030653402105</v>
          </cell>
          <cell r="O22">
            <v>0.15875400000000001</v>
          </cell>
          <cell r="P22">
            <v>1575</v>
          </cell>
          <cell r="Q22">
            <v>4220.5815869999997</v>
          </cell>
          <cell r="R22">
            <v>6647416</v>
          </cell>
        </row>
        <row r="23">
          <cell r="A23" t="str">
            <v>11030653403303</v>
          </cell>
          <cell r="O23">
            <v>0.59721800000000003</v>
          </cell>
          <cell r="P23">
            <v>5925</v>
          </cell>
          <cell r="Q23">
            <v>1887.686751</v>
          </cell>
          <cell r="R23">
            <v>11184544</v>
          </cell>
        </row>
        <row r="24">
          <cell r="A24" t="str">
            <v>11030653406103</v>
          </cell>
          <cell r="O24">
            <v>4.0319000000000001E-2</v>
          </cell>
          <cell r="P24">
            <v>400</v>
          </cell>
          <cell r="Q24">
            <v>2713.105</v>
          </cell>
          <cell r="R24">
            <v>1085242</v>
          </cell>
        </row>
        <row r="25">
          <cell r="A25" t="str">
            <v>11030653414086</v>
          </cell>
          <cell r="O25">
            <v>3.5278999999999998E-2</v>
          </cell>
          <cell r="P25">
            <v>350</v>
          </cell>
          <cell r="Q25">
            <v>4596.6085709999998</v>
          </cell>
          <cell r="R25">
            <v>1608813</v>
          </cell>
        </row>
        <row r="26">
          <cell r="A26" t="str">
            <v>11030653457041</v>
          </cell>
          <cell r="O26">
            <v>0.168431</v>
          </cell>
          <cell r="P26">
            <v>1671</v>
          </cell>
          <cell r="Q26">
            <v>9625.258527</v>
          </cell>
          <cell r="R26">
            <v>16083807</v>
          </cell>
        </row>
        <row r="27">
          <cell r="A27" t="str">
            <v>소계</v>
          </cell>
          <cell r="P27">
            <v>9921</v>
          </cell>
          <cell r="R27">
            <v>36609822</v>
          </cell>
        </row>
        <row r="28">
          <cell r="A28" t="str">
            <v>11030673402105</v>
          </cell>
          <cell r="O28">
            <v>0.15340799999999999</v>
          </cell>
          <cell r="P28">
            <v>12400</v>
          </cell>
          <cell r="Q28">
            <v>4220.5815320000002</v>
          </cell>
          <cell r="R28">
            <v>52335211</v>
          </cell>
        </row>
        <row r="29">
          <cell r="A29" t="str">
            <v>11030673403303</v>
          </cell>
          <cell r="O29">
            <v>0.49795899999999998</v>
          </cell>
          <cell r="P29">
            <v>40250</v>
          </cell>
          <cell r="Q29">
            <v>1887.6867569999999</v>
          </cell>
          <cell r="R29">
            <v>75979392</v>
          </cell>
        </row>
        <row r="30">
          <cell r="A30" t="str">
            <v>11030673403313</v>
          </cell>
          <cell r="O30">
            <v>0.15340799999999999</v>
          </cell>
          <cell r="P30">
            <v>12400</v>
          </cell>
          <cell r="Q30">
            <v>1667.881854</v>
          </cell>
          <cell r="R30">
            <v>20681735</v>
          </cell>
        </row>
        <row r="31">
          <cell r="A31" t="str">
            <v>11030673414086</v>
          </cell>
          <cell r="O31">
            <v>3.8351999999999997E-2</v>
          </cell>
          <cell r="P31">
            <v>3100</v>
          </cell>
          <cell r="Q31">
            <v>4596.6099999999997</v>
          </cell>
          <cell r="R31">
            <v>14249491</v>
          </cell>
        </row>
        <row r="32">
          <cell r="A32" t="str">
            <v>11030673457041</v>
          </cell>
          <cell r="O32">
            <v>4.3227000000000002E-2</v>
          </cell>
          <cell r="P32">
            <v>3494</v>
          </cell>
          <cell r="Q32">
            <v>9625.2581559999999</v>
          </cell>
          <cell r="R32">
            <v>33630652</v>
          </cell>
        </row>
        <row r="33">
          <cell r="A33" t="str">
            <v>11030673459002</v>
          </cell>
          <cell r="O33">
            <v>0.113646</v>
          </cell>
          <cell r="P33">
            <v>9186</v>
          </cell>
          <cell r="Q33">
            <v>1500</v>
          </cell>
          <cell r="R33">
            <v>13779000</v>
          </cell>
        </row>
        <row r="34">
          <cell r="A34" t="str">
            <v>소계</v>
          </cell>
          <cell r="P34">
            <v>80830</v>
          </cell>
          <cell r="R34">
            <v>210655481</v>
          </cell>
        </row>
        <row r="35">
          <cell r="A35" t="str">
            <v>11032003403313</v>
          </cell>
          <cell r="O35">
            <v>0.14464099999999999</v>
          </cell>
          <cell r="P35">
            <v>8700</v>
          </cell>
          <cell r="Q35">
            <v>1667.8818389999999</v>
          </cell>
          <cell r="R35">
            <v>14510572</v>
          </cell>
        </row>
        <row r="36">
          <cell r="A36" t="str">
            <v>11032003406101</v>
          </cell>
          <cell r="O36">
            <v>0.36160199999999998</v>
          </cell>
          <cell r="P36">
            <v>21750</v>
          </cell>
          <cell r="Q36">
            <v>3005.053793</v>
          </cell>
          <cell r="R36">
            <v>65359920</v>
          </cell>
        </row>
        <row r="37">
          <cell r="A37" t="str">
            <v>11032003406103</v>
          </cell>
          <cell r="O37">
            <v>0.21696099999999999</v>
          </cell>
          <cell r="P37">
            <v>13050</v>
          </cell>
          <cell r="Q37">
            <v>2713.1050570000002</v>
          </cell>
          <cell r="R37">
            <v>35406021</v>
          </cell>
        </row>
        <row r="38">
          <cell r="A38" t="str">
            <v>11032003414101</v>
          </cell>
          <cell r="O38">
            <v>1.8803E-2</v>
          </cell>
          <cell r="P38">
            <v>1131</v>
          </cell>
          <cell r="Q38">
            <v>3869.25641</v>
          </cell>
          <cell r="R38">
            <v>4376129</v>
          </cell>
        </row>
        <row r="39">
          <cell r="A39" t="str">
            <v>11032003456003</v>
          </cell>
          <cell r="O39">
            <v>4.6850000000000003E-2</v>
          </cell>
          <cell r="P39">
            <v>2818</v>
          </cell>
          <cell r="Q39">
            <v>3580.7256910000001</v>
          </cell>
          <cell r="R39">
            <v>10090485</v>
          </cell>
        </row>
        <row r="40">
          <cell r="A40" t="str">
            <v>11032003459028</v>
          </cell>
          <cell r="O40">
            <v>0.211142</v>
          </cell>
          <cell r="P40">
            <v>12700</v>
          </cell>
          <cell r="Q40">
            <v>1687.281338</v>
          </cell>
          <cell r="R40">
            <v>21428473</v>
          </cell>
        </row>
        <row r="41">
          <cell r="A41" t="str">
            <v>소계</v>
          </cell>
          <cell r="P41">
            <v>60149</v>
          </cell>
          <cell r="R41">
            <v>151171600</v>
          </cell>
        </row>
        <row r="42">
          <cell r="A42" t="str">
            <v>11040033404301</v>
          </cell>
          <cell r="O42">
            <v>0.26712000000000002</v>
          </cell>
          <cell r="P42">
            <v>3300</v>
          </cell>
          <cell r="Q42">
            <v>2135.897575</v>
          </cell>
          <cell r="R42">
            <v>7048462</v>
          </cell>
        </row>
        <row r="43">
          <cell r="A43" t="str">
            <v>11040033404303</v>
          </cell>
          <cell r="O43">
            <v>0.22259999999999999</v>
          </cell>
          <cell r="P43">
            <v>2750</v>
          </cell>
          <cell r="Q43">
            <v>2202.3461809999999</v>
          </cell>
          <cell r="R43">
            <v>6056452</v>
          </cell>
        </row>
        <row r="44">
          <cell r="A44" t="str">
            <v>11040033405132</v>
          </cell>
          <cell r="O44">
            <v>0.17888899999999999</v>
          </cell>
          <cell r="P44">
            <v>2210</v>
          </cell>
          <cell r="Q44">
            <v>9504.5574660000002</v>
          </cell>
          <cell r="R44">
            <v>21005072</v>
          </cell>
        </row>
        <row r="45">
          <cell r="A45" t="str">
            <v>11040033405141</v>
          </cell>
          <cell r="O45">
            <v>9.3087000000000003E-2</v>
          </cell>
          <cell r="P45">
            <v>1150</v>
          </cell>
          <cell r="Q45">
            <v>4782.5469560000001</v>
          </cell>
          <cell r="R45">
            <v>5499929</v>
          </cell>
        </row>
        <row r="46">
          <cell r="A46" t="str">
            <v>11040033405142</v>
          </cell>
          <cell r="O46">
            <v>4.0473000000000002E-2</v>
          </cell>
          <cell r="P46">
            <v>500</v>
          </cell>
          <cell r="Q46">
            <v>3179.9140000000002</v>
          </cell>
          <cell r="R46">
            <v>1589957</v>
          </cell>
        </row>
        <row r="47">
          <cell r="A47" t="str">
            <v>11040033409003</v>
          </cell>
          <cell r="O47">
            <v>4.4519999999999997E-2</v>
          </cell>
          <cell r="P47">
            <v>550</v>
          </cell>
          <cell r="Q47">
            <v>3200</v>
          </cell>
          <cell r="R47">
            <v>1760000</v>
          </cell>
        </row>
        <row r="48">
          <cell r="A48" t="str">
            <v>11040033409403</v>
          </cell>
          <cell r="O48">
            <v>8.9039999999999994E-2</v>
          </cell>
          <cell r="P48">
            <v>1100</v>
          </cell>
          <cell r="Q48">
            <v>3612.792727</v>
          </cell>
          <cell r="R48">
            <v>3974072</v>
          </cell>
        </row>
        <row r="49">
          <cell r="A49" t="str">
            <v>11040033457015</v>
          </cell>
          <cell r="O49">
            <v>6.4270999999999995E-2</v>
          </cell>
          <cell r="P49">
            <v>794</v>
          </cell>
          <cell r="Q49">
            <v>15165.700251</v>
          </cell>
          <cell r="R49">
            <v>12041566</v>
          </cell>
        </row>
        <row r="50">
          <cell r="A50" t="str">
            <v>소계</v>
          </cell>
          <cell r="P50">
            <v>12354</v>
          </cell>
          <cell r="R50">
            <v>58975510</v>
          </cell>
        </row>
        <row r="51">
          <cell r="A51" t="str">
            <v>11050113405100</v>
          </cell>
          <cell r="O51">
            <v>0.17722299999999999</v>
          </cell>
          <cell r="P51">
            <v>4975</v>
          </cell>
          <cell r="Q51">
            <v>4401.5344720000003</v>
          </cell>
          <cell r="R51">
            <v>21897634</v>
          </cell>
        </row>
        <row r="52">
          <cell r="A52" t="str">
            <v>11050113405101</v>
          </cell>
          <cell r="O52">
            <v>0.21284600000000001</v>
          </cell>
          <cell r="P52">
            <v>5975</v>
          </cell>
          <cell r="Q52">
            <v>16206.609874</v>
          </cell>
          <cell r="R52">
            <v>96834494</v>
          </cell>
        </row>
        <row r="53">
          <cell r="A53" t="str">
            <v>11050113405132</v>
          </cell>
          <cell r="O53">
            <v>0.320604</v>
          </cell>
          <cell r="P53">
            <v>9000</v>
          </cell>
          <cell r="Q53">
            <v>9504.5572219999995</v>
          </cell>
          <cell r="R53">
            <v>85541015</v>
          </cell>
        </row>
        <row r="54">
          <cell r="A54" t="str">
            <v>11050113455031</v>
          </cell>
          <cell r="O54">
            <v>0.12984499999999999</v>
          </cell>
          <cell r="P54">
            <v>3645</v>
          </cell>
          <cell r="Q54">
            <v>267.893552</v>
          </cell>
          <cell r="R54">
            <v>976472</v>
          </cell>
        </row>
        <row r="55">
          <cell r="A55" t="str">
            <v>11050113457041</v>
          </cell>
          <cell r="O55">
            <v>9.2619000000000007E-2</v>
          </cell>
          <cell r="P55">
            <v>2600</v>
          </cell>
          <cell r="Q55">
            <v>9625.2580760000001</v>
          </cell>
          <cell r="R55">
            <v>25025671</v>
          </cell>
        </row>
        <row r="56">
          <cell r="A56" t="str">
            <v>11050113459002</v>
          </cell>
          <cell r="O56">
            <v>6.6864000000000007E-2</v>
          </cell>
          <cell r="P56">
            <v>1877</v>
          </cell>
          <cell r="Q56">
            <v>1500</v>
          </cell>
          <cell r="R56">
            <v>2815500</v>
          </cell>
        </row>
        <row r="57">
          <cell r="A57" t="str">
            <v>소계</v>
          </cell>
          <cell r="P57">
            <v>28072</v>
          </cell>
          <cell r="R57">
            <v>233090786</v>
          </cell>
        </row>
        <row r="58">
          <cell r="A58" t="str">
            <v>11050133405101</v>
          </cell>
          <cell r="O58">
            <v>0.19098499999999999</v>
          </cell>
          <cell r="P58">
            <v>250</v>
          </cell>
          <cell r="Q58">
            <v>16206.608</v>
          </cell>
          <cell r="R58">
            <v>4051652</v>
          </cell>
        </row>
        <row r="59">
          <cell r="A59" t="str">
            <v>11050133405132</v>
          </cell>
          <cell r="O59">
            <v>0.43926700000000002</v>
          </cell>
          <cell r="P59">
            <v>575</v>
          </cell>
          <cell r="Q59">
            <v>9504.5565210000004</v>
          </cell>
          <cell r="R59">
            <v>5465120</v>
          </cell>
        </row>
        <row r="60">
          <cell r="A60" t="str">
            <v>11050133405141</v>
          </cell>
          <cell r="O60">
            <v>0.114591</v>
          </cell>
          <cell r="P60">
            <v>150</v>
          </cell>
          <cell r="Q60">
            <v>4782.5466660000002</v>
          </cell>
          <cell r="R60">
            <v>717382</v>
          </cell>
        </row>
        <row r="61">
          <cell r="A61" t="str">
            <v>11050133455031</v>
          </cell>
          <cell r="O61">
            <v>0.172651</v>
          </cell>
          <cell r="P61">
            <v>226</v>
          </cell>
          <cell r="Q61">
            <v>267.89380499999999</v>
          </cell>
          <cell r="R61">
            <v>60544</v>
          </cell>
        </row>
        <row r="62">
          <cell r="A62" t="str">
            <v>11050133456003</v>
          </cell>
          <cell r="O62">
            <v>4.5840000000000004E-3</v>
          </cell>
          <cell r="P62">
            <v>6</v>
          </cell>
          <cell r="Q62">
            <v>3580.6666660000001</v>
          </cell>
          <cell r="R62">
            <v>21484</v>
          </cell>
        </row>
        <row r="63">
          <cell r="A63" t="str">
            <v>11050133457041</v>
          </cell>
          <cell r="O63">
            <v>6.7226999999999995E-2</v>
          </cell>
          <cell r="P63">
            <v>88</v>
          </cell>
          <cell r="Q63">
            <v>9625.2613629999996</v>
          </cell>
          <cell r="R63">
            <v>847023</v>
          </cell>
        </row>
        <row r="64">
          <cell r="A64" t="str">
            <v>11050133460002</v>
          </cell>
          <cell r="O64">
            <v>1.0695E-2</v>
          </cell>
          <cell r="P64">
            <v>14</v>
          </cell>
          <cell r="Q64">
            <v>15197.285714</v>
          </cell>
          <cell r="R64">
            <v>212762</v>
          </cell>
        </row>
        <row r="65">
          <cell r="A65" t="str">
            <v>소계</v>
          </cell>
          <cell r="P65">
            <v>1309</v>
          </cell>
          <cell r="R65">
            <v>11375967</v>
          </cell>
        </row>
        <row r="66">
          <cell r="A66" t="str">
            <v>11060093402105</v>
          </cell>
          <cell r="O66">
            <v>0.51382700000000003</v>
          </cell>
          <cell r="P66">
            <v>42000</v>
          </cell>
          <cell r="Q66">
            <v>4220.5815000000002</v>
          </cell>
          <cell r="R66">
            <v>177264423</v>
          </cell>
        </row>
        <row r="67">
          <cell r="A67" t="str">
            <v>11060093406102</v>
          </cell>
          <cell r="O67">
            <v>6.4227999999999993E-2</v>
          </cell>
          <cell r="P67">
            <v>5250</v>
          </cell>
          <cell r="Q67">
            <v>2500</v>
          </cell>
          <cell r="R67">
            <v>13125000</v>
          </cell>
        </row>
        <row r="68">
          <cell r="A68" t="str">
            <v>11060093406105</v>
          </cell>
          <cell r="O68">
            <v>6.4227999999999993E-2</v>
          </cell>
          <cell r="P68">
            <v>5250</v>
          </cell>
          <cell r="Q68">
            <v>2706.607047</v>
          </cell>
          <cell r="R68">
            <v>14209687</v>
          </cell>
        </row>
        <row r="69">
          <cell r="A69" t="str">
            <v>11060093413021</v>
          </cell>
          <cell r="O69">
            <v>0.1124</v>
          </cell>
          <cell r="P69">
            <v>9187.5</v>
          </cell>
          <cell r="Q69">
            <v>1763.8595909999999</v>
          </cell>
          <cell r="R69">
            <v>16205460</v>
          </cell>
        </row>
        <row r="70">
          <cell r="A70" t="str">
            <v>11060093414101</v>
          </cell>
          <cell r="O70">
            <v>4.9743000000000002E-2</v>
          </cell>
          <cell r="P70">
            <v>4066</v>
          </cell>
          <cell r="Q70">
            <v>3869.2560250000001</v>
          </cell>
          <cell r="R70">
            <v>15732395</v>
          </cell>
        </row>
        <row r="71">
          <cell r="A71" t="str">
            <v>11060093414117</v>
          </cell>
          <cell r="O71">
            <v>3.5500000000000001E-4</v>
          </cell>
          <cell r="P71">
            <v>29</v>
          </cell>
          <cell r="Q71">
            <v>4797.1724130000002</v>
          </cell>
          <cell r="R71">
            <v>139118</v>
          </cell>
        </row>
        <row r="72">
          <cell r="A72" t="str">
            <v>11060093456001</v>
          </cell>
          <cell r="O72">
            <v>7.782E-2</v>
          </cell>
          <cell r="P72">
            <v>6361</v>
          </cell>
          <cell r="Q72">
            <v>2364.1290669999998</v>
          </cell>
          <cell r="R72">
            <v>15038225</v>
          </cell>
        </row>
        <row r="73">
          <cell r="A73" t="str">
            <v>11060093456003</v>
          </cell>
          <cell r="O73">
            <v>0.117397</v>
          </cell>
          <cell r="P73">
            <v>9596</v>
          </cell>
          <cell r="Q73">
            <v>3580.7258230000002</v>
          </cell>
          <cell r="R73">
            <v>34360646</v>
          </cell>
        </row>
        <row r="74">
          <cell r="A74" t="str">
            <v>소계</v>
          </cell>
          <cell r="P74">
            <v>81739.5</v>
          </cell>
          <cell r="R74">
            <v>286074954</v>
          </cell>
        </row>
        <row r="75">
          <cell r="A75" t="str">
            <v>11070023402105</v>
          </cell>
          <cell r="O75">
            <v>0.15357599999999999</v>
          </cell>
          <cell r="P75">
            <v>9900</v>
          </cell>
          <cell r="Q75">
            <v>4220.5815149999999</v>
          </cell>
          <cell r="R75">
            <v>41783757</v>
          </cell>
        </row>
        <row r="76">
          <cell r="A76" t="str">
            <v>11070023403303</v>
          </cell>
          <cell r="O76">
            <v>0.50028700000000004</v>
          </cell>
          <cell r="P76">
            <v>32250</v>
          </cell>
          <cell r="Q76">
            <v>1887.6867589999999</v>
          </cell>
          <cell r="R76">
            <v>60877898</v>
          </cell>
        </row>
        <row r="77">
          <cell r="A77" t="str">
            <v>11070023403313</v>
          </cell>
          <cell r="O77">
            <v>0.15357599999999999</v>
          </cell>
          <cell r="P77">
            <v>9900</v>
          </cell>
          <cell r="Q77">
            <v>1667.8818180000001</v>
          </cell>
          <cell r="R77">
            <v>16512030</v>
          </cell>
        </row>
        <row r="78">
          <cell r="A78" t="str">
            <v>11070023414086</v>
          </cell>
          <cell r="O78">
            <v>3.8393999999999998E-2</v>
          </cell>
          <cell r="P78">
            <v>2475</v>
          </cell>
          <cell r="Q78">
            <v>4596.6101010000002</v>
          </cell>
          <cell r="R78">
            <v>11376610</v>
          </cell>
        </row>
        <row r="79">
          <cell r="A79" t="str">
            <v>11070023457041</v>
          </cell>
          <cell r="O79">
            <v>5.4015000000000001E-2</v>
          </cell>
          <cell r="P79">
            <v>3482</v>
          </cell>
          <cell r="Q79">
            <v>9625.2581840000003</v>
          </cell>
          <cell r="R79">
            <v>33515149</v>
          </cell>
        </row>
        <row r="80">
          <cell r="A80" t="str">
            <v>11070023459002</v>
          </cell>
          <cell r="O80">
            <v>0.10015</v>
          </cell>
          <cell r="P80">
            <v>6456</v>
          </cell>
          <cell r="Q80">
            <v>1500</v>
          </cell>
          <cell r="R80">
            <v>9684000</v>
          </cell>
        </row>
        <row r="81">
          <cell r="A81" t="str">
            <v>소계</v>
          </cell>
          <cell r="P81">
            <v>64463</v>
          </cell>
          <cell r="R81">
            <v>173749444</v>
          </cell>
        </row>
        <row r="82">
          <cell r="A82" t="str">
            <v>11090023409402</v>
          </cell>
          <cell r="O82">
            <v>1.7548000000000001E-2</v>
          </cell>
          <cell r="P82">
            <v>421</v>
          </cell>
          <cell r="Q82">
            <v>4025.612826</v>
          </cell>
          <cell r="R82">
            <v>1694783</v>
          </cell>
        </row>
        <row r="83">
          <cell r="A83" t="str">
            <v>11090023409403</v>
          </cell>
          <cell r="O83">
            <v>0.833646</v>
          </cell>
          <cell r="P83">
            <v>20000</v>
          </cell>
          <cell r="Q83">
            <v>3612.7925</v>
          </cell>
          <cell r="R83">
            <v>72255850</v>
          </cell>
        </row>
        <row r="84">
          <cell r="A84" t="str">
            <v>11090023451051</v>
          </cell>
          <cell r="O84">
            <v>2.042E-3</v>
          </cell>
          <cell r="P84">
            <v>49</v>
          </cell>
          <cell r="Q84">
            <v>6198.4693870000001</v>
          </cell>
          <cell r="R84">
            <v>303725</v>
          </cell>
        </row>
        <row r="85">
          <cell r="A85" t="str">
            <v>11090023456004</v>
          </cell>
          <cell r="O85">
            <v>5.0852000000000001E-2</v>
          </cell>
          <cell r="P85">
            <v>1220</v>
          </cell>
          <cell r="Q85">
            <v>3826.7090159999998</v>
          </cell>
          <cell r="R85">
            <v>4668585</v>
          </cell>
        </row>
        <row r="86">
          <cell r="A86" t="str">
            <v>11090023456031</v>
          </cell>
          <cell r="O86">
            <v>9.5910999999999996E-2</v>
          </cell>
          <cell r="P86">
            <v>2301</v>
          </cell>
          <cell r="Q86">
            <v>8251.3872219999994</v>
          </cell>
          <cell r="R86">
            <v>18986442</v>
          </cell>
        </row>
        <row r="87">
          <cell r="A87" t="str">
            <v>소계</v>
          </cell>
          <cell r="P87">
            <v>23991</v>
          </cell>
          <cell r="R87">
            <v>97909385</v>
          </cell>
        </row>
        <row r="88">
          <cell r="A88" t="str">
            <v>13070573407002</v>
          </cell>
          <cell r="O88">
            <v>4.0016999999999997E-2</v>
          </cell>
          <cell r="P88">
            <v>193</v>
          </cell>
          <cell r="Q88">
            <v>5799.3056989999995</v>
          </cell>
          <cell r="R88">
            <v>1119266</v>
          </cell>
        </row>
        <row r="89">
          <cell r="A89" t="str">
            <v>13070573407103</v>
          </cell>
          <cell r="O89">
            <v>0.81007700000000005</v>
          </cell>
          <cell r="P89">
            <v>3907</v>
          </cell>
          <cell r="Q89">
            <v>2443.703352</v>
          </cell>
          <cell r="R89">
            <v>9547549</v>
          </cell>
        </row>
        <row r="90">
          <cell r="A90" t="str">
            <v>13070573458001</v>
          </cell>
          <cell r="O90">
            <v>0.14990700000000001</v>
          </cell>
          <cell r="P90">
            <v>723</v>
          </cell>
          <cell r="Q90">
            <v>10555.591977</v>
          </cell>
          <cell r="R90">
            <v>7631693</v>
          </cell>
        </row>
        <row r="91">
          <cell r="A91" t="str">
            <v>소계</v>
          </cell>
          <cell r="P91">
            <v>4823</v>
          </cell>
          <cell r="R91">
            <v>18298508</v>
          </cell>
        </row>
        <row r="92">
          <cell r="A92" t="str">
            <v>13070773407103</v>
          </cell>
          <cell r="O92">
            <v>0.76503600000000005</v>
          </cell>
          <cell r="P92">
            <v>3816</v>
          </cell>
          <cell r="Q92">
            <v>2443.7033540000002</v>
          </cell>
          <cell r="R92">
            <v>9325172</v>
          </cell>
        </row>
        <row r="93">
          <cell r="A93" t="str">
            <v>13070773458001</v>
          </cell>
          <cell r="O93">
            <v>0.13492399999999999</v>
          </cell>
          <cell r="P93">
            <v>673</v>
          </cell>
          <cell r="Q93">
            <v>10555.591381</v>
          </cell>
          <cell r="R93">
            <v>7103913</v>
          </cell>
        </row>
        <row r="94">
          <cell r="A94" t="str">
            <v>13070773499033</v>
          </cell>
          <cell r="O94">
            <v>0.10004</v>
          </cell>
          <cell r="P94">
            <v>499</v>
          </cell>
          <cell r="Q94">
            <v>3935.064128</v>
          </cell>
          <cell r="R94">
            <v>1963597</v>
          </cell>
        </row>
        <row r="95">
          <cell r="A95" t="str">
            <v>소계</v>
          </cell>
          <cell r="P95">
            <v>4988</v>
          </cell>
          <cell r="R95">
            <v>18392682</v>
          </cell>
        </row>
        <row r="96">
          <cell r="A96" t="str">
            <v>13070813407003</v>
          </cell>
          <cell r="O96">
            <v>4.0221E-2</v>
          </cell>
          <cell r="P96">
            <v>80</v>
          </cell>
          <cell r="Q96">
            <v>10500</v>
          </cell>
          <cell r="R96">
            <v>840000</v>
          </cell>
        </row>
        <row r="97">
          <cell r="A97" t="str">
            <v>13070813407103</v>
          </cell>
          <cell r="O97">
            <v>0.80995499999999998</v>
          </cell>
          <cell r="P97">
            <v>1611</v>
          </cell>
          <cell r="Q97">
            <v>2443.703289</v>
          </cell>
          <cell r="R97">
            <v>3936806</v>
          </cell>
        </row>
        <row r="98">
          <cell r="A98" t="str">
            <v>13070813458001</v>
          </cell>
          <cell r="O98">
            <v>0.14982400000000001</v>
          </cell>
          <cell r="P98">
            <v>298</v>
          </cell>
          <cell r="Q98">
            <v>10555.590604000001</v>
          </cell>
          <cell r="R98">
            <v>3145566</v>
          </cell>
        </row>
        <row r="99">
          <cell r="A99" t="str">
            <v>소계</v>
          </cell>
          <cell r="P99">
            <v>1989</v>
          </cell>
          <cell r="R99">
            <v>7922372</v>
          </cell>
        </row>
        <row r="100">
          <cell r="A100" t="str">
            <v>13071853407103</v>
          </cell>
          <cell r="O100">
            <v>0.81006299999999998</v>
          </cell>
          <cell r="P100">
            <v>4009</v>
          </cell>
          <cell r="Q100">
            <v>2443.7034170000002</v>
          </cell>
          <cell r="R100">
            <v>9796807</v>
          </cell>
        </row>
        <row r="101">
          <cell r="A101" t="str">
            <v>13071853458001</v>
          </cell>
          <cell r="O101">
            <v>0.18993699999999999</v>
          </cell>
          <cell r="P101">
            <v>940</v>
          </cell>
          <cell r="Q101">
            <v>10555.591489</v>
          </cell>
          <cell r="R101">
            <v>9922256</v>
          </cell>
        </row>
        <row r="102">
          <cell r="A102" t="str">
            <v>소계</v>
          </cell>
          <cell r="P102">
            <v>4949</v>
          </cell>
          <cell r="R102">
            <v>19719063</v>
          </cell>
        </row>
        <row r="103">
          <cell r="A103" t="str">
            <v>13121113412101</v>
          </cell>
          <cell r="O103">
            <v>0.73934699999999998</v>
          </cell>
          <cell r="P103">
            <v>12007</v>
          </cell>
          <cell r="Q103">
            <v>1942.908553</v>
          </cell>
          <cell r="R103">
            <v>23328503</v>
          </cell>
        </row>
        <row r="104">
          <cell r="A104" t="str">
            <v>13121113416021</v>
          </cell>
          <cell r="O104">
            <v>4.4026999999999997E-2</v>
          </cell>
          <cell r="P104">
            <v>715</v>
          </cell>
          <cell r="Q104">
            <v>4097.3608389999999</v>
          </cell>
          <cell r="R104">
            <v>2929613</v>
          </cell>
        </row>
        <row r="105">
          <cell r="A105" t="str">
            <v>13121113451051</v>
          </cell>
          <cell r="O105">
            <v>1.17E-3</v>
          </cell>
          <cell r="P105">
            <v>19</v>
          </cell>
          <cell r="Q105">
            <v>6198.4736839999996</v>
          </cell>
          <cell r="R105">
            <v>117771</v>
          </cell>
        </row>
        <row r="106">
          <cell r="A106" t="str">
            <v>13121113451052</v>
          </cell>
          <cell r="O106">
            <v>3.14E-3</v>
          </cell>
          <cell r="P106">
            <v>51</v>
          </cell>
          <cell r="Q106">
            <v>6004.2352940000001</v>
          </cell>
          <cell r="R106">
            <v>306216</v>
          </cell>
        </row>
        <row r="107">
          <cell r="A107" t="str">
            <v>13121113456002</v>
          </cell>
          <cell r="O107">
            <v>0.20997499999999999</v>
          </cell>
          <cell r="P107">
            <v>3410</v>
          </cell>
          <cell r="Q107">
            <v>3239.9621699999998</v>
          </cell>
          <cell r="R107">
            <v>11048271</v>
          </cell>
        </row>
        <row r="108">
          <cell r="A108" t="str">
            <v>13121113479045</v>
          </cell>
          <cell r="O108">
            <v>2.3400000000000001E-3</v>
          </cell>
          <cell r="P108">
            <v>38</v>
          </cell>
          <cell r="Q108">
            <v>3868.3157890000002</v>
          </cell>
          <cell r="R108">
            <v>146996</v>
          </cell>
        </row>
        <row r="109">
          <cell r="A109" t="str">
            <v>소계</v>
          </cell>
          <cell r="P109">
            <v>16240</v>
          </cell>
          <cell r="R109">
            <v>37877370</v>
          </cell>
        </row>
        <row r="110">
          <cell r="A110" t="str">
            <v>13121123412101</v>
          </cell>
          <cell r="O110">
            <v>0.716256</v>
          </cell>
          <cell r="P110">
            <v>4362</v>
          </cell>
          <cell r="Q110">
            <v>1942.9085279999999</v>
          </cell>
          <cell r="R110">
            <v>8474967</v>
          </cell>
        </row>
        <row r="111">
          <cell r="A111" t="str">
            <v>13121123416021</v>
          </cell>
          <cell r="O111">
            <v>4.3841999999999999E-2</v>
          </cell>
          <cell r="P111">
            <v>267</v>
          </cell>
          <cell r="Q111">
            <v>4097.3632950000001</v>
          </cell>
          <cell r="R111">
            <v>1093996</v>
          </cell>
        </row>
        <row r="112">
          <cell r="A112" t="str">
            <v>13121123451051</v>
          </cell>
          <cell r="O112">
            <v>1.1490000000000001E-3</v>
          </cell>
          <cell r="P112">
            <v>7</v>
          </cell>
          <cell r="Q112">
            <v>6198.4285710000004</v>
          </cell>
          <cell r="R112">
            <v>43388</v>
          </cell>
        </row>
        <row r="113">
          <cell r="A113" t="str">
            <v>13121123451052</v>
          </cell>
          <cell r="O113">
            <v>3.1199999999999999E-3</v>
          </cell>
          <cell r="P113">
            <v>19</v>
          </cell>
          <cell r="Q113">
            <v>6004.2105259999998</v>
          </cell>
          <cell r="R113">
            <v>114080</v>
          </cell>
        </row>
        <row r="114">
          <cell r="A114" t="str">
            <v>13121123456002</v>
          </cell>
          <cell r="O114">
            <v>0.23333300000000001</v>
          </cell>
          <cell r="P114">
            <v>1421</v>
          </cell>
          <cell r="Q114">
            <v>3239.9619980000002</v>
          </cell>
          <cell r="R114">
            <v>4603986</v>
          </cell>
        </row>
        <row r="115">
          <cell r="A115" t="str">
            <v>13121123479045</v>
          </cell>
          <cell r="O115">
            <v>2.2989999999999998E-3</v>
          </cell>
          <cell r="P115">
            <v>14</v>
          </cell>
          <cell r="Q115">
            <v>3868.2857140000001</v>
          </cell>
          <cell r="R115">
            <v>54156</v>
          </cell>
        </row>
        <row r="116">
          <cell r="A116" t="str">
            <v>소계</v>
          </cell>
          <cell r="P116">
            <v>6090</v>
          </cell>
          <cell r="R116">
            <v>14384573</v>
          </cell>
        </row>
        <row r="117">
          <cell r="A117" t="str">
            <v>15010013402104</v>
          </cell>
          <cell r="O117">
            <v>2.0764000000000001E-2</v>
          </cell>
          <cell r="P117">
            <v>25</v>
          </cell>
          <cell r="Q117">
            <v>4176.5200000000004</v>
          </cell>
          <cell r="R117">
            <v>104413</v>
          </cell>
        </row>
        <row r="118">
          <cell r="A118" t="str">
            <v>15010013402105</v>
          </cell>
          <cell r="O118">
            <v>0.16195999999999999</v>
          </cell>
          <cell r="P118">
            <v>195</v>
          </cell>
          <cell r="Q118">
            <v>4220.579487</v>
          </cell>
          <cell r="R118">
            <v>823013</v>
          </cell>
        </row>
        <row r="119">
          <cell r="A119" t="str">
            <v>15010013403309</v>
          </cell>
          <cell r="O119">
            <v>0.103821</v>
          </cell>
          <cell r="P119">
            <v>125</v>
          </cell>
          <cell r="Q119">
            <v>1860.336</v>
          </cell>
          <cell r="R119">
            <v>232542</v>
          </cell>
        </row>
        <row r="120">
          <cell r="A120" t="str">
            <v>15010013404303</v>
          </cell>
          <cell r="O120">
            <v>0.27242499999999997</v>
          </cell>
          <cell r="P120">
            <v>328</v>
          </cell>
          <cell r="Q120">
            <v>2202.3475600000002</v>
          </cell>
          <cell r="R120">
            <v>722370</v>
          </cell>
        </row>
        <row r="121">
          <cell r="A121" t="str">
            <v>15010013405132</v>
          </cell>
          <cell r="O121">
            <v>8.3056000000000005E-2</v>
          </cell>
          <cell r="P121">
            <v>100</v>
          </cell>
          <cell r="Q121">
            <v>9504.56</v>
          </cell>
          <cell r="R121">
            <v>950456</v>
          </cell>
        </row>
        <row r="122">
          <cell r="A122" t="str">
            <v>15010013405141</v>
          </cell>
          <cell r="O122">
            <v>6.2292E-2</v>
          </cell>
          <cell r="P122">
            <v>75</v>
          </cell>
          <cell r="Q122">
            <v>4782.5466660000002</v>
          </cell>
          <cell r="R122">
            <v>358691</v>
          </cell>
        </row>
        <row r="123">
          <cell r="A123" t="str">
            <v>15010013407103</v>
          </cell>
          <cell r="O123">
            <v>9.9670000000000002E-3</v>
          </cell>
          <cell r="P123">
            <v>12</v>
          </cell>
          <cell r="Q123">
            <v>2443.6666660000001</v>
          </cell>
          <cell r="R123">
            <v>29324</v>
          </cell>
        </row>
        <row r="124">
          <cell r="A124" t="str">
            <v>15010013409403</v>
          </cell>
          <cell r="O124">
            <v>0.103821</v>
          </cell>
          <cell r="P124">
            <v>125</v>
          </cell>
          <cell r="Q124">
            <v>3612.7919999999999</v>
          </cell>
          <cell r="R124">
            <v>451599</v>
          </cell>
        </row>
        <row r="125">
          <cell r="A125" t="str">
            <v>15010013412205</v>
          </cell>
          <cell r="O125">
            <v>2.0764000000000001E-2</v>
          </cell>
          <cell r="P125">
            <v>25</v>
          </cell>
          <cell r="Q125">
            <v>1705.72</v>
          </cell>
          <cell r="R125">
            <v>42643</v>
          </cell>
        </row>
        <row r="126">
          <cell r="A126" t="str">
            <v>15010013413002</v>
          </cell>
          <cell r="O126">
            <v>2.4919999999999999E-3</v>
          </cell>
          <cell r="P126">
            <v>3</v>
          </cell>
          <cell r="Q126">
            <v>1840</v>
          </cell>
          <cell r="R126">
            <v>5520</v>
          </cell>
        </row>
        <row r="127">
          <cell r="A127" t="str">
            <v>15010013413021</v>
          </cell>
          <cell r="O127">
            <v>1.0796999999999999E-2</v>
          </cell>
          <cell r="P127">
            <v>13</v>
          </cell>
          <cell r="Q127">
            <v>1763.846153</v>
          </cell>
          <cell r="R127">
            <v>22930</v>
          </cell>
        </row>
        <row r="128">
          <cell r="A128" t="str">
            <v>15010013455003</v>
          </cell>
          <cell r="O128">
            <v>3.0731000000000001E-2</v>
          </cell>
          <cell r="P128">
            <v>37</v>
          </cell>
          <cell r="Q128">
            <v>1237.4594589999999</v>
          </cell>
          <cell r="R128">
            <v>45786</v>
          </cell>
        </row>
        <row r="129">
          <cell r="A129" t="str">
            <v>15010013455031</v>
          </cell>
          <cell r="O129">
            <v>3.3219999999999999E-3</v>
          </cell>
          <cell r="P129">
            <v>4</v>
          </cell>
          <cell r="Q129">
            <v>268</v>
          </cell>
          <cell r="R129">
            <v>1072</v>
          </cell>
        </row>
        <row r="130">
          <cell r="A130" t="str">
            <v>15010013456001</v>
          </cell>
          <cell r="O130">
            <v>7.4749999999999999E-3</v>
          </cell>
          <cell r="P130">
            <v>9</v>
          </cell>
          <cell r="Q130">
            <v>2364.1111110000002</v>
          </cell>
          <cell r="R130">
            <v>21277</v>
          </cell>
        </row>
        <row r="131">
          <cell r="A131" t="str">
            <v>15010013456031</v>
          </cell>
          <cell r="O131">
            <v>1.0796999999999999E-2</v>
          </cell>
          <cell r="P131">
            <v>13</v>
          </cell>
          <cell r="Q131">
            <v>8251.3846150000008</v>
          </cell>
          <cell r="R131">
            <v>107268</v>
          </cell>
        </row>
        <row r="132">
          <cell r="A132" t="str">
            <v>15010013457041</v>
          </cell>
          <cell r="O132">
            <v>3.8205999999999997E-2</v>
          </cell>
          <cell r="P132">
            <v>46</v>
          </cell>
          <cell r="Q132">
            <v>9625.2608689999997</v>
          </cell>
          <cell r="R132">
            <v>442762</v>
          </cell>
        </row>
        <row r="133">
          <cell r="A133" t="str">
            <v>15010013457061</v>
          </cell>
          <cell r="O133">
            <v>1.2458E-2</v>
          </cell>
          <cell r="P133">
            <v>15</v>
          </cell>
          <cell r="Q133">
            <v>16707.133333000002</v>
          </cell>
          <cell r="R133">
            <v>250607</v>
          </cell>
        </row>
        <row r="134">
          <cell r="A134" t="str">
            <v>15010013458001</v>
          </cell>
          <cell r="O134">
            <v>1.6609999999999999E-3</v>
          </cell>
          <cell r="P134">
            <v>2</v>
          </cell>
          <cell r="Q134">
            <v>10555.5</v>
          </cell>
          <cell r="R134">
            <v>21112</v>
          </cell>
        </row>
        <row r="135">
          <cell r="A135" t="str">
            <v>15010013458008</v>
          </cell>
          <cell r="O135">
            <v>6.6449999999999999E-3</v>
          </cell>
          <cell r="P135">
            <v>8</v>
          </cell>
          <cell r="Q135">
            <v>14944</v>
          </cell>
          <cell r="R135">
            <v>119552</v>
          </cell>
        </row>
        <row r="136">
          <cell r="A136" t="str">
            <v>15010013459002</v>
          </cell>
          <cell r="O136">
            <v>1.6609999999999999E-3</v>
          </cell>
          <cell r="P136">
            <v>2</v>
          </cell>
          <cell r="Q136">
            <v>1500</v>
          </cell>
          <cell r="R136">
            <v>3000</v>
          </cell>
        </row>
        <row r="137">
          <cell r="A137" t="str">
            <v>15010013460001</v>
          </cell>
          <cell r="O137">
            <v>5.8139999999999997E-3</v>
          </cell>
          <cell r="P137">
            <v>7</v>
          </cell>
          <cell r="Q137">
            <v>15990.428571</v>
          </cell>
          <cell r="R137">
            <v>111933</v>
          </cell>
        </row>
        <row r="138">
          <cell r="A138" t="str">
            <v>15010013462001</v>
          </cell>
          <cell r="O138">
            <v>2.8239E-2</v>
          </cell>
          <cell r="P138">
            <v>34</v>
          </cell>
          <cell r="Q138">
            <v>872.20588199999997</v>
          </cell>
          <cell r="R138">
            <v>29655</v>
          </cell>
        </row>
        <row r="139">
          <cell r="A139" t="str">
            <v>15010013479021</v>
          </cell>
          <cell r="O139">
            <v>8.3100000000000003E-4</v>
          </cell>
          <cell r="P139">
            <v>1</v>
          </cell>
          <cell r="Q139">
            <v>5000</v>
          </cell>
          <cell r="R139">
            <v>5000</v>
          </cell>
        </row>
        <row r="140">
          <cell r="A140" t="str">
            <v>소계</v>
          </cell>
          <cell r="P140">
            <v>1204</v>
          </cell>
          <cell r="R140">
            <v>4902525</v>
          </cell>
        </row>
        <row r="141">
          <cell r="A141" t="str">
            <v>34033213403303</v>
          </cell>
          <cell r="O141">
            <v>0.54761899999999997</v>
          </cell>
          <cell r="P141">
            <v>1150</v>
          </cell>
          <cell r="Q141">
            <v>1887.686956</v>
          </cell>
          <cell r="R141">
            <v>2170840</v>
          </cell>
        </row>
        <row r="142">
          <cell r="A142" t="str">
            <v>34033213403313</v>
          </cell>
          <cell r="O142">
            <v>0.45238099999999998</v>
          </cell>
          <cell r="P142">
            <v>950</v>
          </cell>
          <cell r="Q142">
            <v>1667.8821049999999</v>
          </cell>
          <cell r="R142">
            <v>1584488</v>
          </cell>
        </row>
        <row r="143">
          <cell r="A143" t="str">
            <v>소계</v>
          </cell>
          <cell r="P143">
            <v>2100</v>
          </cell>
          <cell r="R143">
            <v>3755328</v>
          </cell>
        </row>
        <row r="144">
          <cell r="A144" t="str">
            <v>34131013413002</v>
          </cell>
          <cell r="O144">
            <v>0.65698800000000002</v>
          </cell>
          <cell r="P144">
            <v>3281</v>
          </cell>
          <cell r="Q144">
            <v>1839.8805239999999</v>
          </cell>
          <cell r="R144">
            <v>6036648</v>
          </cell>
        </row>
        <row r="145">
          <cell r="A145" t="str">
            <v>34131013413201</v>
          </cell>
          <cell r="O145">
            <v>3.5041999999999997E-2</v>
          </cell>
          <cell r="P145">
            <v>175</v>
          </cell>
          <cell r="Q145">
            <v>2554.828571</v>
          </cell>
          <cell r="R145">
            <v>447095</v>
          </cell>
        </row>
        <row r="146">
          <cell r="A146" t="str">
            <v>34131013415114</v>
          </cell>
          <cell r="O146">
            <v>6.5077999999999997E-2</v>
          </cell>
          <cell r="P146">
            <v>325</v>
          </cell>
          <cell r="Q146">
            <v>3346.3107690000002</v>
          </cell>
          <cell r="R146">
            <v>1087551</v>
          </cell>
        </row>
        <row r="147">
          <cell r="A147" t="str">
            <v>34131013458008</v>
          </cell>
          <cell r="O147">
            <v>0.215058</v>
          </cell>
          <cell r="P147">
            <v>1074</v>
          </cell>
          <cell r="Q147">
            <v>14943.97486</v>
          </cell>
          <cell r="R147">
            <v>16049829</v>
          </cell>
        </row>
        <row r="148">
          <cell r="A148" t="str">
            <v>34131013479005</v>
          </cell>
          <cell r="O148">
            <v>1.7420999999999999E-2</v>
          </cell>
          <cell r="P148">
            <v>87</v>
          </cell>
          <cell r="Q148">
            <v>8400</v>
          </cell>
          <cell r="R148">
            <v>730800</v>
          </cell>
        </row>
        <row r="149">
          <cell r="A149" t="str">
            <v>34131013479007</v>
          </cell>
          <cell r="O149">
            <v>1.0411999999999999E-2</v>
          </cell>
          <cell r="P149">
            <v>52</v>
          </cell>
          <cell r="Q149">
            <v>8245.2115379999996</v>
          </cell>
          <cell r="R149">
            <v>428751</v>
          </cell>
        </row>
        <row r="150">
          <cell r="A150" t="str">
            <v>소계</v>
          </cell>
          <cell r="P150">
            <v>4994</v>
          </cell>
          <cell r="R150">
            <v>24780674</v>
          </cell>
        </row>
        <row r="151">
          <cell r="A151" t="str">
            <v>12131023413007</v>
          </cell>
          <cell r="O151">
            <v>0.18608</v>
          </cell>
          <cell r="P151">
            <v>3259</v>
          </cell>
          <cell r="Q151">
            <v>1851.7965630000001</v>
          </cell>
          <cell r="R151">
            <v>6035005</v>
          </cell>
        </row>
        <row r="152">
          <cell r="A152" t="str">
            <v>12131023413101</v>
          </cell>
          <cell r="O152">
            <v>9.9121000000000001E-2</v>
          </cell>
          <cell r="P152">
            <v>1736</v>
          </cell>
          <cell r="Q152">
            <v>4957.7632480000002</v>
          </cell>
          <cell r="R152">
            <v>8606677</v>
          </cell>
        </row>
        <row r="153">
          <cell r="A153" t="str">
            <v>12131023413305</v>
          </cell>
          <cell r="O153">
            <v>0.66980700000000004</v>
          </cell>
          <cell r="P153">
            <v>11731</v>
          </cell>
          <cell r="Q153">
            <v>1478.379592</v>
          </cell>
          <cell r="R153">
            <v>17342871</v>
          </cell>
        </row>
        <row r="154">
          <cell r="A154" t="str">
            <v>12131023413371</v>
          </cell>
          <cell r="O154">
            <v>4.0000000000000002E-4</v>
          </cell>
          <cell r="P154">
            <v>7</v>
          </cell>
          <cell r="Q154">
            <v>1859.2857140000001</v>
          </cell>
          <cell r="R154">
            <v>13015</v>
          </cell>
        </row>
        <row r="155">
          <cell r="A155" t="str">
            <v>12131023414121</v>
          </cell>
          <cell r="O155">
            <v>2.2268E-2</v>
          </cell>
          <cell r="P155">
            <v>390</v>
          </cell>
          <cell r="Q155">
            <v>3243.4974350000002</v>
          </cell>
          <cell r="R155">
            <v>1264964</v>
          </cell>
        </row>
        <row r="156">
          <cell r="A156" t="str">
            <v>12131023415114</v>
          </cell>
          <cell r="O156">
            <v>2.2325000000000001E-2</v>
          </cell>
          <cell r="P156">
            <v>391</v>
          </cell>
          <cell r="Q156">
            <v>3346.3120199999998</v>
          </cell>
          <cell r="R156">
            <v>1308408</v>
          </cell>
        </row>
        <row r="157">
          <cell r="A157" t="str">
            <v>소계</v>
          </cell>
          <cell r="P157">
            <v>17514</v>
          </cell>
          <cell r="R157">
            <v>34570940</v>
          </cell>
        </row>
        <row r="158">
          <cell r="A158" t="str">
            <v>12132013413002</v>
          </cell>
          <cell r="O158">
            <v>8.0924999999999997E-2</v>
          </cell>
          <cell r="P158">
            <v>14</v>
          </cell>
          <cell r="Q158">
            <v>1839.8571420000001</v>
          </cell>
          <cell r="R158">
            <v>25758</v>
          </cell>
        </row>
        <row r="159">
          <cell r="A159" t="str">
            <v>12132013413007</v>
          </cell>
          <cell r="O159">
            <v>0.15606900000000001</v>
          </cell>
          <cell r="P159">
            <v>27</v>
          </cell>
          <cell r="Q159">
            <v>1851.8148140000001</v>
          </cell>
          <cell r="R159">
            <v>49999</v>
          </cell>
        </row>
        <row r="160">
          <cell r="A160" t="str">
            <v>12132013413305</v>
          </cell>
          <cell r="O160">
            <v>0.55491299999999999</v>
          </cell>
          <cell r="P160">
            <v>96</v>
          </cell>
          <cell r="Q160">
            <v>1478.375</v>
          </cell>
          <cell r="R160">
            <v>141924</v>
          </cell>
        </row>
        <row r="161">
          <cell r="A161" t="str">
            <v>12132013413371</v>
          </cell>
          <cell r="O161">
            <v>0.15606900000000001</v>
          </cell>
          <cell r="P161">
            <v>27</v>
          </cell>
          <cell r="Q161">
            <v>1859.333333</v>
          </cell>
          <cell r="R161">
            <v>50202</v>
          </cell>
        </row>
        <row r="162">
          <cell r="A162" t="str">
            <v>12132013414121</v>
          </cell>
          <cell r="O162">
            <v>1.1561E-2</v>
          </cell>
          <cell r="P162">
            <v>2</v>
          </cell>
          <cell r="Q162">
            <v>3243.5</v>
          </cell>
          <cell r="R162">
            <v>6487</v>
          </cell>
        </row>
        <row r="163">
          <cell r="A163" t="str">
            <v>12132013415114</v>
          </cell>
          <cell r="O163">
            <v>2.8902000000000001E-2</v>
          </cell>
          <cell r="P163">
            <v>5</v>
          </cell>
          <cell r="Q163">
            <v>3346.4</v>
          </cell>
          <cell r="R163">
            <v>16732</v>
          </cell>
        </row>
        <row r="164">
          <cell r="A164" t="str">
            <v>12132013429106</v>
          </cell>
          <cell r="O164">
            <v>1.1561E-2</v>
          </cell>
          <cell r="P164">
            <v>2</v>
          </cell>
          <cell r="Q164">
            <v>12500</v>
          </cell>
          <cell r="R164">
            <v>25000</v>
          </cell>
        </row>
        <row r="165">
          <cell r="A165" t="str">
            <v>소계</v>
          </cell>
          <cell r="P165">
            <v>173</v>
          </cell>
          <cell r="R165">
            <v>316102</v>
          </cell>
        </row>
        <row r="166">
          <cell r="A166" t="str">
            <v>12132023413002</v>
          </cell>
          <cell r="O166">
            <v>8.4770999999999999E-2</v>
          </cell>
          <cell r="P166">
            <v>4049</v>
          </cell>
          <cell r="Q166">
            <v>1839.880711</v>
          </cell>
          <cell r="R166">
            <v>7449677</v>
          </cell>
        </row>
        <row r="167">
          <cell r="A167" t="str">
            <v>12132023413007</v>
          </cell>
          <cell r="O167">
            <v>0.137907</v>
          </cell>
          <cell r="P167">
            <v>6587</v>
          </cell>
          <cell r="Q167">
            <v>1851.7967200000001</v>
          </cell>
          <cell r="R167">
            <v>12197785</v>
          </cell>
        </row>
        <row r="168">
          <cell r="A168" t="str">
            <v>12132023413010</v>
          </cell>
          <cell r="O168">
            <v>1.5136999999999999E-2</v>
          </cell>
          <cell r="P168">
            <v>723</v>
          </cell>
          <cell r="Q168">
            <v>1920</v>
          </cell>
          <cell r="R168">
            <v>1388160</v>
          </cell>
        </row>
        <row r="169">
          <cell r="A169" t="str">
            <v>12132023413201</v>
          </cell>
          <cell r="O169">
            <v>2.5330000000000001E-3</v>
          </cell>
          <cell r="P169">
            <v>121</v>
          </cell>
          <cell r="Q169">
            <v>2554.8347100000001</v>
          </cell>
          <cell r="R169">
            <v>309135</v>
          </cell>
        </row>
        <row r="170">
          <cell r="A170" t="str">
            <v>12132023413305</v>
          </cell>
          <cell r="O170">
            <v>0.54528500000000002</v>
          </cell>
          <cell r="P170">
            <v>26045</v>
          </cell>
          <cell r="Q170">
            <v>1478.379612</v>
          </cell>
          <cell r="R170">
            <v>38504397</v>
          </cell>
        </row>
        <row r="171">
          <cell r="A171" t="str">
            <v>12132023413371</v>
          </cell>
          <cell r="O171">
            <v>0.163219</v>
          </cell>
          <cell r="P171">
            <v>7796</v>
          </cell>
          <cell r="Q171">
            <v>1859.3237549999999</v>
          </cell>
          <cell r="R171">
            <v>14495288</v>
          </cell>
        </row>
        <row r="172">
          <cell r="A172" t="str">
            <v>12132023414121</v>
          </cell>
          <cell r="O172">
            <v>1.2227E-2</v>
          </cell>
          <cell r="P172">
            <v>584</v>
          </cell>
          <cell r="Q172">
            <v>3243.4982869999999</v>
          </cell>
          <cell r="R172">
            <v>1894203</v>
          </cell>
        </row>
        <row r="173">
          <cell r="A173" t="str">
            <v>12132023415114</v>
          </cell>
          <cell r="O173">
            <v>2.7363999999999999E-2</v>
          </cell>
          <cell r="P173">
            <v>1307</v>
          </cell>
          <cell r="Q173">
            <v>3346.3106349999998</v>
          </cell>
          <cell r="R173">
            <v>4373628</v>
          </cell>
        </row>
        <row r="174">
          <cell r="A174" t="str">
            <v>12132023429106</v>
          </cell>
          <cell r="O174">
            <v>1.1557E-2</v>
          </cell>
          <cell r="P174">
            <v>552</v>
          </cell>
          <cell r="Q174">
            <v>12500</v>
          </cell>
          <cell r="R174">
            <v>6900000</v>
          </cell>
        </row>
        <row r="175">
          <cell r="A175" t="str">
            <v>소계</v>
          </cell>
          <cell r="P175">
            <v>47764</v>
          </cell>
          <cell r="R175">
            <v>87512273</v>
          </cell>
        </row>
        <row r="176">
          <cell r="A176" t="str">
            <v>12132063413002</v>
          </cell>
          <cell r="O176">
            <v>7.6646000000000006E-2</v>
          </cell>
          <cell r="P176">
            <v>85</v>
          </cell>
          <cell r="Q176">
            <v>1839.8823520000001</v>
          </cell>
          <cell r="R176">
            <v>156390</v>
          </cell>
        </row>
        <row r="177">
          <cell r="A177" t="str">
            <v>12132063413007</v>
          </cell>
          <cell r="O177">
            <v>0.14427400000000001</v>
          </cell>
          <cell r="P177">
            <v>160</v>
          </cell>
          <cell r="Q177">
            <v>1851.79375</v>
          </cell>
          <cell r="R177">
            <v>296287</v>
          </cell>
        </row>
        <row r="178">
          <cell r="A178" t="str">
            <v>12132063413201</v>
          </cell>
          <cell r="O178">
            <v>2.7049999999999999E-3</v>
          </cell>
          <cell r="P178">
            <v>3</v>
          </cell>
          <cell r="Q178">
            <v>2554.6666660000001</v>
          </cell>
          <cell r="R178">
            <v>7664</v>
          </cell>
        </row>
        <row r="179">
          <cell r="A179" t="str">
            <v>12132063413305</v>
          </cell>
          <cell r="O179">
            <v>0.52119000000000004</v>
          </cell>
          <cell r="P179">
            <v>578</v>
          </cell>
          <cell r="Q179">
            <v>1478.378892</v>
          </cell>
          <cell r="R179">
            <v>854504</v>
          </cell>
        </row>
        <row r="180">
          <cell r="A180" t="str">
            <v>12132063413371</v>
          </cell>
          <cell r="O180">
            <v>0.21190300000000001</v>
          </cell>
          <cell r="P180">
            <v>235</v>
          </cell>
          <cell r="Q180">
            <v>1859.323404</v>
          </cell>
          <cell r="R180">
            <v>436941</v>
          </cell>
        </row>
        <row r="181">
          <cell r="A181" t="str">
            <v>12132063414121</v>
          </cell>
          <cell r="O181">
            <v>1.8034000000000001E-2</v>
          </cell>
          <cell r="P181">
            <v>20</v>
          </cell>
          <cell r="Q181">
            <v>3243.5</v>
          </cell>
          <cell r="R181">
            <v>64870</v>
          </cell>
        </row>
        <row r="182">
          <cell r="A182" t="str">
            <v>12132063415114</v>
          </cell>
          <cell r="O182">
            <v>2.1641000000000001E-2</v>
          </cell>
          <cell r="P182">
            <v>24</v>
          </cell>
          <cell r="Q182">
            <v>3346.2916660000001</v>
          </cell>
          <cell r="R182">
            <v>80311</v>
          </cell>
        </row>
        <row r="183">
          <cell r="A183" t="str">
            <v>12132063429106</v>
          </cell>
          <cell r="O183">
            <v>3.607E-3</v>
          </cell>
          <cell r="P183">
            <v>4</v>
          </cell>
          <cell r="Q183">
            <v>12500</v>
          </cell>
          <cell r="R183">
            <v>50000</v>
          </cell>
        </row>
        <row r="184">
          <cell r="A184" t="str">
            <v>소계</v>
          </cell>
          <cell r="P184">
            <v>1109</v>
          </cell>
          <cell r="R184">
            <v>1946967</v>
          </cell>
        </row>
        <row r="185">
          <cell r="A185" t="str">
            <v>소계</v>
          </cell>
          <cell r="P185">
            <v>66560</v>
          </cell>
          <cell r="R185">
            <v>124346282</v>
          </cell>
        </row>
        <row r="186">
          <cell r="A186" t="str">
            <v>소계</v>
          </cell>
        </row>
        <row r="187">
          <cell r="A187" t="str">
            <v>소계</v>
          </cell>
        </row>
        <row r="188">
          <cell r="A188" t="str">
            <v>소계</v>
          </cell>
        </row>
        <row r="189">
          <cell r="A189" t="str">
            <v>소계</v>
          </cell>
        </row>
        <row r="190">
          <cell r="A190" t="str">
            <v>소계</v>
          </cell>
        </row>
        <row r="191">
          <cell r="A191" t="str">
            <v>소계</v>
          </cell>
        </row>
        <row r="192">
          <cell r="A192" t="str">
            <v>소계</v>
          </cell>
        </row>
        <row r="193">
          <cell r="A193" t="str">
            <v>소계</v>
          </cell>
        </row>
        <row r="194">
          <cell r="A194" t="str">
            <v>소계</v>
          </cell>
        </row>
        <row r="195">
          <cell r="A195" t="str">
            <v>소계</v>
          </cell>
        </row>
        <row r="196">
          <cell r="A196" t="str">
            <v>소계</v>
          </cell>
        </row>
        <row r="197">
          <cell r="A197" t="str">
            <v>소계</v>
          </cell>
        </row>
        <row r="198">
          <cell r="A198" t="str">
            <v>소계</v>
          </cell>
        </row>
        <row r="199">
          <cell r="A199" t="str">
            <v>소계</v>
          </cell>
        </row>
        <row r="200">
          <cell r="A200" t="str">
            <v>소계</v>
          </cell>
        </row>
        <row r="201">
          <cell r="A201" t="str">
            <v>소계</v>
          </cell>
        </row>
        <row r="202">
          <cell r="A202" t="str">
            <v>소계</v>
          </cell>
        </row>
        <row r="203">
          <cell r="A203" t="str">
            <v>소계</v>
          </cell>
        </row>
        <row r="204">
          <cell r="A204" t="str">
            <v>소계</v>
          </cell>
        </row>
        <row r="205">
          <cell r="A205" t="str">
            <v>소계</v>
          </cell>
        </row>
        <row r="206">
          <cell r="A206" t="str">
            <v>소계</v>
          </cell>
        </row>
        <row r="207">
          <cell r="A207" t="str">
            <v>소계</v>
          </cell>
        </row>
        <row r="208">
          <cell r="A208" t="str">
            <v>소계</v>
          </cell>
        </row>
        <row r="209">
          <cell r="A209" t="str">
            <v>소계</v>
          </cell>
        </row>
        <row r="210">
          <cell r="A210" t="str">
            <v>소계</v>
          </cell>
        </row>
        <row r="211">
          <cell r="A211" t="str">
            <v>소계</v>
          </cell>
        </row>
        <row r="212">
          <cell r="A212" t="str">
            <v>소계</v>
          </cell>
        </row>
        <row r="213">
          <cell r="A213" t="str">
            <v>소계</v>
          </cell>
        </row>
        <row r="214">
          <cell r="A214" t="str">
            <v>소계</v>
          </cell>
        </row>
        <row r="215">
          <cell r="A215" t="str">
            <v>소계</v>
          </cell>
        </row>
        <row r="216">
          <cell r="A216" t="str">
            <v>소계</v>
          </cell>
        </row>
        <row r="217">
          <cell r="A217" t="str">
            <v>소계</v>
          </cell>
        </row>
        <row r="218">
          <cell r="A218" t="str">
            <v>소계</v>
          </cell>
        </row>
        <row r="219">
          <cell r="A219" t="str">
            <v>소계</v>
          </cell>
        </row>
        <row r="220">
          <cell r="A220" t="str">
            <v>소계</v>
          </cell>
        </row>
        <row r="221">
          <cell r="A221" t="str">
            <v>소계</v>
          </cell>
        </row>
        <row r="222">
          <cell r="A222" t="str">
            <v>소계</v>
          </cell>
        </row>
        <row r="223">
          <cell r="A223" t="str">
            <v>소계</v>
          </cell>
        </row>
        <row r="224">
          <cell r="A224" t="str">
            <v>소계</v>
          </cell>
        </row>
        <row r="225">
          <cell r="A225" t="str">
            <v>소계</v>
          </cell>
        </row>
        <row r="226">
          <cell r="A226" t="str">
            <v>소계</v>
          </cell>
        </row>
        <row r="227">
          <cell r="A227" t="str">
            <v>소계</v>
          </cell>
        </row>
        <row r="228">
          <cell r="A228" t="str">
            <v>소계</v>
          </cell>
        </row>
        <row r="229">
          <cell r="A229" t="str">
            <v>소계</v>
          </cell>
        </row>
        <row r="230">
          <cell r="A230" t="str">
            <v>소계</v>
          </cell>
        </row>
        <row r="231">
          <cell r="A231" t="str">
            <v>소계</v>
          </cell>
        </row>
        <row r="232">
          <cell r="A232" t="str">
            <v>소계</v>
          </cell>
        </row>
        <row r="233">
          <cell r="A233" t="str">
            <v>소계</v>
          </cell>
        </row>
        <row r="234">
          <cell r="A234" t="str">
            <v>소계</v>
          </cell>
        </row>
        <row r="235">
          <cell r="A235" t="str">
            <v>소계</v>
          </cell>
        </row>
        <row r="236">
          <cell r="A236" t="str">
            <v>소계</v>
          </cell>
        </row>
        <row r="237">
          <cell r="A237" t="str">
            <v>소계</v>
          </cell>
        </row>
        <row r="238">
          <cell r="A238" t="str">
            <v>소계</v>
          </cell>
        </row>
        <row r="239">
          <cell r="A239" t="str">
            <v>소계</v>
          </cell>
        </row>
        <row r="240">
          <cell r="A240" t="str">
            <v>소계</v>
          </cell>
        </row>
        <row r="241">
          <cell r="A241" t="str">
            <v>소계</v>
          </cell>
        </row>
        <row r="242">
          <cell r="A242" t="str">
            <v>소계</v>
          </cell>
        </row>
        <row r="243">
          <cell r="A243" t="str">
            <v>소계</v>
          </cell>
        </row>
        <row r="244">
          <cell r="A244" t="str">
            <v>소계</v>
          </cell>
        </row>
        <row r="245">
          <cell r="A245" t="str">
            <v>소계</v>
          </cell>
        </row>
        <row r="246">
          <cell r="A246" t="str">
            <v>소계</v>
          </cell>
        </row>
        <row r="247">
          <cell r="A247" t="str">
            <v>소계</v>
          </cell>
        </row>
        <row r="248">
          <cell r="A248" t="str">
            <v>소계</v>
          </cell>
        </row>
        <row r="249">
          <cell r="A249" t="str">
            <v>소계</v>
          </cell>
        </row>
        <row r="250">
          <cell r="A250" t="str">
            <v>소계</v>
          </cell>
        </row>
        <row r="251">
          <cell r="A251" t="str">
            <v>소계</v>
          </cell>
        </row>
        <row r="252">
          <cell r="A252" t="str">
            <v>소계</v>
          </cell>
        </row>
        <row r="253">
          <cell r="A253" t="str">
            <v>소계</v>
          </cell>
        </row>
        <row r="254">
          <cell r="A254" t="str">
            <v>소계</v>
          </cell>
        </row>
        <row r="255">
          <cell r="A255" t="str">
            <v>소계</v>
          </cell>
        </row>
        <row r="256">
          <cell r="A256" t="str">
            <v>소계</v>
          </cell>
        </row>
        <row r="257">
          <cell r="A257" t="str">
            <v>소계</v>
          </cell>
        </row>
        <row r="258">
          <cell r="A258" t="str">
            <v>소계</v>
          </cell>
        </row>
        <row r="259">
          <cell r="A259" t="str">
            <v>소계</v>
          </cell>
        </row>
        <row r="260">
          <cell r="A260" t="str">
            <v>소계</v>
          </cell>
        </row>
        <row r="261">
          <cell r="A261" t="str">
            <v>소계</v>
          </cell>
        </row>
        <row r="262">
          <cell r="A262" t="str">
            <v>소계</v>
          </cell>
        </row>
        <row r="263">
          <cell r="A263" t="str">
            <v>소계</v>
          </cell>
        </row>
        <row r="264">
          <cell r="A264" t="str">
            <v>소계</v>
          </cell>
        </row>
        <row r="265">
          <cell r="A265" t="str">
            <v>소계</v>
          </cell>
        </row>
        <row r="266">
          <cell r="A266" t="str">
            <v>소계</v>
          </cell>
        </row>
        <row r="267">
          <cell r="A267" t="str">
            <v>소계</v>
          </cell>
        </row>
        <row r="268">
          <cell r="A268" t="str">
            <v>소계</v>
          </cell>
        </row>
        <row r="269">
          <cell r="A269" t="str">
            <v>소계</v>
          </cell>
        </row>
        <row r="270">
          <cell r="A270" t="str">
            <v>소계</v>
          </cell>
        </row>
        <row r="271">
          <cell r="A271" t="str">
            <v>소계</v>
          </cell>
        </row>
        <row r="272">
          <cell r="A272" t="str">
            <v>소계</v>
          </cell>
        </row>
        <row r="273">
          <cell r="A273" t="str">
            <v>소계</v>
          </cell>
        </row>
        <row r="274">
          <cell r="A274" t="str">
            <v>소계</v>
          </cell>
        </row>
        <row r="275">
          <cell r="A275" t="str">
            <v>소계</v>
          </cell>
        </row>
        <row r="276">
          <cell r="A276" t="str">
            <v>소계</v>
          </cell>
        </row>
        <row r="277">
          <cell r="A277" t="str">
            <v>소계</v>
          </cell>
        </row>
        <row r="278">
          <cell r="A278" t="str">
            <v>소계</v>
          </cell>
        </row>
        <row r="279">
          <cell r="A279" t="str">
            <v>소계</v>
          </cell>
        </row>
        <row r="280">
          <cell r="A280" t="str">
            <v>소계</v>
          </cell>
        </row>
        <row r="281">
          <cell r="A281" t="str">
            <v>소계</v>
          </cell>
        </row>
        <row r="282">
          <cell r="A282" t="str">
            <v>소계</v>
          </cell>
        </row>
        <row r="283">
          <cell r="A283" t="str">
            <v>소계</v>
          </cell>
        </row>
        <row r="284">
          <cell r="A284" t="str">
            <v>소계</v>
          </cell>
        </row>
        <row r="285">
          <cell r="A285" t="str">
            <v>소계</v>
          </cell>
        </row>
        <row r="286">
          <cell r="A286" t="str">
            <v>소계</v>
          </cell>
        </row>
        <row r="287">
          <cell r="A287" t="str">
            <v>소계</v>
          </cell>
        </row>
        <row r="288">
          <cell r="A288" t="str">
            <v>소계</v>
          </cell>
        </row>
        <row r="289">
          <cell r="A289" t="str">
            <v>소계</v>
          </cell>
        </row>
        <row r="290">
          <cell r="A290" t="str">
            <v>소계</v>
          </cell>
        </row>
        <row r="291">
          <cell r="A291" t="str">
            <v>소계</v>
          </cell>
        </row>
        <row r="292">
          <cell r="A292" t="str">
            <v>소계</v>
          </cell>
        </row>
        <row r="293">
          <cell r="A293" t="str">
            <v>소계</v>
          </cell>
        </row>
        <row r="294">
          <cell r="A294" t="str">
            <v>소계</v>
          </cell>
        </row>
        <row r="295">
          <cell r="A295" t="str">
            <v>소계</v>
          </cell>
        </row>
        <row r="296">
          <cell r="A296" t="str">
            <v>소계</v>
          </cell>
        </row>
        <row r="297">
          <cell r="A297" t="str">
            <v>소계</v>
          </cell>
        </row>
        <row r="298">
          <cell r="A298" t="str">
            <v>소계</v>
          </cell>
        </row>
        <row r="299">
          <cell r="A299" t="str">
            <v>소계</v>
          </cell>
        </row>
        <row r="300">
          <cell r="A300" t="str">
            <v>소계</v>
          </cell>
        </row>
      </sheetData>
      <sheetData sheetId="10"/>
      <sheetData sheetId="11">
        <row r="1">
          <cell r="O1" t="str">
            <v>단위사용량</v>
          </cell>
          <cell r="P1" t="str">
            <v>사용량</v>
          </cell>
          <cell r="Q1" t="str">
            <v>사용단가</v>
          </cell>
          <cell r="R1" t="str">
            <v>사용금액</v>
          </cell>
        </row>
        <row r="2">
          <cell r="A2" t="str">
            <v>11030013403303</v>
          </cell>
          <cell r="O2">
            <v>0.83415099999999998</v>
          </cell>
          <cell r="P2">
            <v>6800</v>
          </cell>
          <cell r="Q2">
            <v>1870.0102939999999</v>
          </cell>
          <cell r="R2">
            <v>12716070</v>
          </cell>
        </row>
        <row r="3">
          <cell r="A3" t="str">
            <v>11030013414086</v>
          </cell>
          <cell r="O3">
            <v>4.2934E-2</v>
          </cell>
          <cell r="P3">
            <v>350</v>
          </cell>
          <cell r="Q3">
            <v>4390.9571420000002</v>
          </cell>
          <cell r="R3">
            <v>1536835</v>
          </cell>
        </row>
        <row r="4">
          <cell r="A4" t="str">
            <v>11030013457041</v>
          </cell>
          <cell r="O4">
            <v>0.122915</v>
          </cell>
          <cell r="P4">
            <v>1002</v>
          </cell>
          <cell r="Q4">
            <v>10020.492015</v>
          </cell>
          <cell r="R4">
            <v>10040533</v>
          </cell>
        </row>
        <row r="5">
          <cell r="A5" t="str">
            <v>소계</v>
          </cell>
          <cell r="P5">
            <v>8152</v>
          </cell>
          <cell r="R5">
            <v>24293438</v>
          </cell>
        </row>
        <row r="6">
          <cell r="A6" t="str">
            <v>11030023402105</v>
          </cell>
          <cell r="O6">
            <v>4.6445E-2</v>
          </cell>
          <cell r="P6">
            <v>1000</v>
          </cell>
          <cell r="Q6">
            <v>3948.172</v>
          </cell>
          <cell r="R6">
            <v>3948172</v>
          </cell>
        </row>
        <row r="7">
          <cell r="A7" t="str">
            <v>11030023403303</v>
          </cell>
          <cell r="O7">
            <v>0.55617499999999997</v>
          </cell>
          <cell r="P7">
            <v>11975</v>
          </cell>
          <cell r="Q7">
            <v>1870.010354</v>
          </cell>
          <cell r="R7">
            <v>22393374</v>
          </cell>
        </row>
        <row r="8">
          <cell r="A8" t="str">
            <v>11030023403313</v>
          </cell>
          <cell r="O8">
            <v>0.277507</v>
          </cell>
          <cell r="P8">
            <v>5975</v>
          </cell>
          <cell r="Q8">
            <v>1656.783263</v>
          </cell>
          <cell r="R8">
            <v>9899280</v>
          </cell>
        </row>
        <row r="9">
          <cell r="A9" t="str">
            <v>11030023414086</v>
          </cell>
          <cell r="O9">
            <v>3.7156000000000002E-2</v>
          </cell>
          <cell r="P9">
            <v>800</v>
          </cell>
          <cell r="Q9">
            <v>4390.9562500000002</v>
          </cell>
          <cell r="R9">
            <v>3512765</v>
          </cell>
        </row>
        <row r="10">
          <cell r="A10" t="str">
            <v>11030023457015</v>
          </cell>
          <cell r="O10">
            <v>4.9370999999999998E-2</v>
          </cell>
          <cell r="P10">
            <v>1063</v>
          </cell>
          <cell r="Q10">
            <v>13861.063029000001</v>
          </cell>
          <cell r="R10">
            <v>14734310</v>
          </cell>
        </row>
        <row r="11">
          <cell r="A11" t="str">
            <v>11030023459002</v>
          </cell>
          <cell r="O11">
            <v>3.3347000000000002E-2</v>
          </cell>
          <cell r="P11">
            <v>718</v>
          </cell>
          <cell r="Q11">
            <v>1469.2103059999999</v>
          </cell>
          <cell r="R11">
            <v>1054893</v>
          </cell>
        </row>
        <row r="12">
          <cell r="A12" t="str">
            <v>소계</v>
          </cell>
          <cell r="P12">
            <v>21531</v>
          </cell>
          <cell r="R12">
            <v>55542794</v>
          </cell>
        </row>
        <row r="13">
          <cell r="A13" t="str">
            <v>11030123402105</v>
          </cell>
          <cell r="O13">
            <v>0.37625399999999998</v>
          </cell>
          <cell r="P13">
            <v>900</v>
          </cell>
          <cell r="Q13">
            <v>3948.1722220000001</v>
          </cell>
          <cell r="R13">
            <v>3553355</v>
          </cell>
        </row>
        <row r="14">
          <cell r="A14" t="str">
            <v>11030123403303</v>
          </cell>
          <cell r="O14">
            <v>0.36580299999999999</v>
          </cell>
          <cell r="P14">
            <v>875</v>
          </cell>
          <cell r="Q14">
            <v>1870.0102850000001</v>
          </cell>
          <cell r="R14">
            <v>1636259</v>
          </cell>
        </row>
        <row r="15">
          <cell r="A15" t="str">
            <v>11030123413002</v>
          </cell>
          <cell r="O15">
            <v>4.1806000000000003E-2</v>
          </cell>
          <cell r="P15">
            <v>100</v>
          </cell>
          <cell r="Q15">
            <v>1849.11</v>
          </cell>
          <cell r="R15">
            <v>184911</v>
          </cell>
        </row>
        <row r="16">
          <cell r="A16" t="str">
            <v>11030123455031</v>
          </cell>
          <cell r="O16">
            <v>0.14255899999999999</v>
          </cell>
          <cell r="P16">
            <v>341</v>
          </cell>
          <cell r="Q16">
            <v>269.11143600000003</v>
          </cell>
          <cell r="R16">
            <v>91767</v>
          </cell>
        </row>
        <row r="17">
          <cell r="A17" t="str">
            <v>11030123457041</v>
          </cell>
          <cell r="O17">
            <v>7.3579000000000006E-2</v>
          </cell>
          <cell r="P17">
            <v>176</v>
          </cell>
          <cell r="Q17">
            <v>10020.494317999999</v>
          </cell>
          <cell r="R17">
            <v>1763607</v>
          </cell>
        </row>
        <row r="18">
          <cell r="A18" t="str">
            <v>소계</v>
          </cell>
          <cell r="P18">
            <v>2392</v>
          </cell>
          <cell r="R18">
            <v>7229899</v>
          </cell>
        </row>
        <row r="19">
          <cell r="A19" t="str">
            <v>11030163402105</v>
          </cell>
          <cell r="O19">
            <v>0.532447</v>
          </cell>
          <cell r="P19">
            <v>13300</v>
          </cell>
          <cell r="Q19">
            <v>3948.1720300000002</v>
          </cell>
          <cell r="R19">
            <v>52510688</v>
          </cell>
        </row>
        <row r="20">
          <cell r="A20" t="str">
            <v>11030163403303</v>
          </cell>
          <cell r="O20">
            <v>2.9024000000000001E-2</v>
          </cell>
          <cell r="P20">
            <v>725</v>
          </cell>
          <cell r="Q20">
            <v>1870.0096550000001</v>
          </cell>
          <cell r="R20">
            <v>1355757</v>
          </cell>
        </row>
        <row r="21">
          <cell r="A21" t="str">
            <v>11030163403311</v>
          </cell>
          <cell r="O21">
            <v>2.0019999999999999E-3</v>
          </cell>
          <cell r="P21">
            <v>50</v>
          </cell>
          <cell r="Q21">
            <v>2588.84</v>
          </cell>
          <cell r="R21">
            <v>129442</v>
          </cell>
        </row>
        <row r="22">
          <cell r="A22" t="str">
            <v>11030163413002</v>
          </cell>
          <cell r="O22">
            <v>6.3052999999999998E-2</v>
          </cell>
          <cell r="P22">
            <v>1575</v>
          </cell>
          <cell r="Q22">
            <v>1849.107301</v>
          </cell>
          <cell r="R22">
            <v>2912344</v>
          </cell>
        </row>
        <row r="23">
          <cell r="A23" t="str">
            <v>11030163414086</v>
          </cell>
          <cell r="O23">
            <v>2.4820999999999999E-2</v>
          </cell>
          <cell r="P23">
            <v>620</v>
          </cell>
          <cell r="Q23">
            <v>4390.956451</v>
          </cell>
          <cell r="R23">
            <v>2722393</v>
          </cell>
        </row>
        <row r="24">
          <cell r="A24" t="str">
            <v>11030163455031</v>
          </cell>
          <cell r="O24">
            <v>0.151167</v>
          </cell>
          <cell r="P24">
            <v>3776</v>
          </cell>
          <cell r="Q24">
            <v>269.11122799999998</v>
          </cell>
          <cell r="R24">
            <v>1016164</v>
          </cell>
        </row>
        <row r="25">
          <cell r="A25" t="str">
            <v>11030163457041</v>
          </cell>
          <cell r="O25">
            <v>9.0555999999999998E-2</v>
          </cell>
          <cell r="P25">
            <v>2262</v>
          </cell>
          <cell r="Q25">
            <v>10020.492484</v>
          </cell>
          <cell r="R25">
            <v>22666354</v>
          </cell>
        </row>
        <row r="26">
          <cell r="A26" t="str">
            <v>11030163459002</v>
          </cell>
          <cell r="O26">
            <v>0.10693</v>
          </cell>
          <cell r="P26">
            <v>2671</v>
          </cell>
          <cell r="Q26">
            <v>1469.2107820000001</v>
          </cell>
          <cell r="R26">
            <v>3924262</v>
          </cell>
        </row>
        <row r="27">
          <cell r="A27" t="str">
            <v>소계</v>
          </cell>
          <cell r="P27">
            <v>24979</v>
          </cell>
          <cell r="R27">
            <v>87237404</v>
          </cell>
        </row>
        <row r="28">
          <cell r="A28" t="str">
            <v>11030613402105</v>
          </cell>
          <cell r="O28">
            <v>4.4145999999999998E-2</v>
          </cell>
          <cell r="P28">
            <v>3650</v>
          </cell>
          <cell r="Q28">
            <v>3948.1720540000001</v>
          </cell>
          <cell r="R28">
            <v>14410828</v>
          </cell>
        </row>
        <row r="29">
          <cell r="A29" t="str">
            <v>11030613403303</v>
          </cell>
          <cell r="O29">
            <v>0.53005599999999997</v>
          </cell>
          <cell r="P29">
            <v>43825</v>
          </cell>
          <cell r="Q29">
            <v>1870.010313</v>
          </cell>
          <cell r="R29">
            <v>81953202</v>
          </cell>
        </row>
        <row r="30">
          <cell r="A30" t="str">
            <v>11030613403313</v>
          </cell>
          <cell r="O30">
            <v>0.30902299999999999</v>
          </cell>
          <cell r="P30">
            <v>25550</v>
          </cell>
          <cell r="Q30">
            <v>1656.783326</v>
          </cell>
          <cell r="R30">
            <v>42330814</v>
          </cell>
        </row>
        <row r="31">
          <cell r="A31" t="str">
            <v>11030613414086</v>
          </cell>
          <cell r="O31">
            <v>1.7658E-2</v>
          </cell>
          <cell r="P31">
            <v>1460</v>
          </cell>
          <cell r="Q31">
            <v>4390.9561640000002</v>
          </cell>
          <cell r="R31">
            <v>6410796</v>
          </cell>
        </row>
        <row r="32">
          <cell r="A32" t="str">
            <v>11030613457015</v>
          </cell>
          <cell r="O32">
            <v>5.0604999999999997E-2</v>
          </cell>
          <cell r="P32">
            <v>4184</v>
          </cell>
          <cell r="Q32">
            <v>13861.063575</v>
          </cell>
          <cell r="R32">
            <v>57994690</v>
          </cell>
        </row>
        <row r="33">
          <cell r="A33" t="str">
            <v>11030613457051</v>
          </cell>
          <cell r="O33">
            <v>7.2570000000000004E-3</v>
          </cell>
          <cell r="P33">
            <v>600</v>
          </cell>
          <cell r="Q33">
            <v>1</v>
          </cell>
          <cell r="R33">
            <v>600</v>
          </cell>
        </row>
        <row r="34">
          <cell r="A34" t="str">
            <v>11030613459002</v>
          </cell>
          <cell r="O34">
            <v>9.6520000000000009E-3</v>
          </cell>
          <cell r="P34">
            <v>798</v>
          </cell>
          <cell r="Q34">
            <v>1469.2105260000001</v>
          </cell>
          <cell r="R34">
            <v>1172430</v>
          </cell>
        </row>
        <row r="35">
          <cell r="A35" t="str">
            <v>11030613459028</v>
          </cell>
          <cell r="O35">
            <v>3.1604E-2</v>
          </cell>
          <cell r="P35">
            <v>2613</v>
          </cell>
          <cell r="Q35">
            <v>1687.281285</v>
          </cell>
          <cell r="R35">
            <v>4408866</v>
          </cell>
        </row>
        <row r="36">
          <cell r="A36" t="str">
            <v>소계</v>
          </cell>
          <cell r="P36">
            <v>82680</v>
          </cell>
          <cell r="R36">
            <v>208682226</v>
          </cell>
        </row>
        <row r="37">
          <cell r="A37" t="str">
            <v>11030673402105</v>
          </cell>
          <cell r="O37">
            <v>0.15323999999999999</v>
          </cell>
          <cell r="P37">
            <v>20700</v>
          </cell>
          <cell r="Q37">
            <v>3948.172028</v>
          </cell>
          <cell r="R37">
            <v>81727161</v>
          </cell>
        </row>
        <row r="38">
          <cell r="A38" t="str">
            <v>11030673403303</v>
          </cell>
          <cell r="O38">
            <v>0.49840099999999998</v>
          </cell>
          <cell r="P38">
            <v>67325</v>
          </cell>
          <cell r="Q38">
            <v>1870.010323</v>
          </cell>
          <cell r="R38">
            <v>125898445</v>
          </cell>
        </row>
        <row r="39">
          <cell r="A39" t="str">
            <v>11030673403313</v>
          </cell>
          <cell r="O39">
            <v>0.15361</v>
          </cell>
          <cell r="P39">
            <v>20750</v>
          </cell>
          <cell r="Q39">
            <v>1656.7833250000001</v>
          </cell>
          <cell r="R39">
            <v>34378254</v>
          </cell>
        </row>
        <row r="40">
          <cell r="A40" t="str">
            <v>11030673414086</v>
          </cell>
          <cell r="O40">
            <v>3.8309999999999997E-2</v>
          </cell>
          <cell r="P40">
            <v>5175</v>
          </cell>
          <cell r="Q40">
            <v>4390.9561350000004</v>
          </cell>
          <cell r="R40">
            <v>22723198</v>
          </cell>
        </row>
        <row r="41">
          <cell r="A41" t="str">
            <v>11030673457041</v>
          </cell>
          <cell r="O41">
            <v>4.0124E-2</v>
          </cell>
          <cell r="P41">
            <v>5420</v>
          </cell>
          <cell r="Q41">
            <v>10020.492435</v>
          </cell>
          <cell r="R41">
            <v>54311069</v>
          </cell>
        </row>
        <row r="42">
          <cell r="A42" t="str">
            <v>11030673459002</v>
          </cell>
          <cell r="O42">
            <v>5.2650000000000002E-2</v>
          </cell>
          <cell r="P42">
            <v>7112</v>
          </cell>
          <cell r="Q42">
            <v>1469.2109109999999</v>
          </cell>
          <cell r="R42">
            <v>10449028</v>
          </cell>
        </row>
        <row r="43">
          <cell r="A43" t="str">
            <v>11030673459011</v>
          </cell>
          <cell r="O43">
            <v>6.3664999999999999E-2</v>
          </cell>
          <cell r="P43">
            <v>8600</v>
          </cell>
          <cell r="Q43">
            <v>1455.4336040000001</v>
          </cell>
          <cell r="R43">
            <v>12516729</v>
          </cell>
        </row>
        <row r="44">
          <cell r="A44" t="str">
            <v>소계</v>
          </cell>
          <cell r="P44">
            <v>135082</v>
          </cell>
          <cell r="R44">
            <v>342003884</v>
          </cell>
        </row>
        <row r="45">
          <cell r="A45" t="str">
            <v>11032003403313</v>
          </cell>
          <cell r="O45">
            <v>0.46040300000000001</v>
          </cell>
          <cell r="P45">
            <v>11825</v>
          </cell>
          <cell r="Q45">
            <v>1656.78334</v>
          </cell>
          <cell r="R45">
            <v>19591463</v>
          </cell>
        </row>
        <row r="46">
          <cell r="A46" t="str">
            <v>11032003406101</v>
          </cell>
          <cell r="O46">
            <v>0.30466399999999999</v>
          </cell>
          <cell r="P46">
            <v>7825</v>
          </cell>
          <cell r="Q46">
            <v>3005.053801</v>
          </cell>
          <cell r="R46">
            <v>23514546</v>
          </cell>
        </row>
        <row r="47">
          <cell r="A47" t="str">
            <v>11032003414086</v>
          </cell>
          <cell r="O47">
            <v>3.0369E-2</v>
          </cell>
          <cell r="P47">
            <v>780</v>
          </cell>
          <cell r="Q47">
            <v>4390.9564099999998</v>
          </cell>
          <cell r="R47">
            <v>3424946</v>
          </cell>
        </row>
        <row r="48">
          <cell r="A48" t="str">
            <v>11032003456003</v>
          </cell>
          <cell r="O48">
            <v>5.5015000000000001E-2</v>
          </cell>
          <cell r="P48">
            <v>1413</v>
          </cell>
          <cell r="Q48">
            <v>3580.725406</v>
          </cell>
          <cell r="R48">
            <v>5059565</v>
          </cell>
        </row>
        <row r="49">
          <cell r="A49" t="str">
            <v>11032003459002</v>
          </cell>
          <cell r="O49">
            <v>0.14954799999999999</v>
          </cell>
          <cell r="P49">
            <v>3841</v>
          </cell>
          <cell r="Q49">
            <v>1469.2108820000001</v>
          </cell>
          <cell r="R49">
            <v>5643239</v>
          </cell>
        </row>
        <row r="50">
          <cell r="A50" t="str">
            <v>소계</v>
          </cell>
          <cell r="P50">
            <v>25684</v>
          </cell>
          <cell r="R50">
            <v>57233759</v>
          </cell>
        </row>
        <row r="51">
          <cell r="A51" t="str">
            <v>11040073404303</v>
          </cell>
          <cell r="O51">
            <v>0.85478900000000002</v>
          </cell>
          <cell r="P51">
            <v>8300</v>
          </cell>
          <cell r="Q51">
            <v>2202.3462650000001</v>
          </cell>
          <cell r="R51">
            <v>18279474</v>
          </cell>
        </row>
        <row r="52">
          <cell r="A52" t="str">
            <v>11040073409403</v>
          </cell>
          <cell r="O52">
            <v>0.14521100000000001</v>
          </cell>
          <cell r="P52">
            <v>1410</v>
          </cell>
          <cell r="Q52">
            <v>3576.9141840000002</v>
          </cell>
          <cell r="R52">
            <v>5043449</v>
          </cell>
        </row>
        <row r="53">
          <cell r="A53" t="str">
            <v>소계</v>
          </cell>
          <cell r="P53">
            <v>9710</v>
          </cell>
          <cell r="R53">
            <v>23322923</v>
          </cell>
        </row>
        <row r="54">
          <cell r="A54" t="str">
            <v>11050113405100</v>
          </cell>
          <cell r="O54">
            <v>0.17750299999999999</v>
          </cell>
          <cell r="P54">
            <v>1750</v>
          </cell>
          <cell r="Q54">
            <v>4401.5342849999997</v>
          </cell>
          <cell r="R54">
            <v>7702685</v>
          </cell>
        </row>
        <row r="55">
          <cell r="A55" t="str">
            <v>11050113405101</v>
          </cell>
          <cell r="O55">
            <v>0.213003</v>
          </cell>
          <cell r="P55">
            <v>2100</v>
          </cell>
          <cell r="Q55">
            <v>16455.611904000001</v>
          </cell>
          <cell r="R55">
            <v>34556785</v>
          </cell>
        </row>
        <row r="56">
          <cell r="A56" t="str">
            <v>11050113405132</v>
          </cell>
          <cell r="O56">
            <v>0.31950499999999998</v>
          </cell>
          <cell r="P56">
            <v>3150</v>
          </cell>
          <cell r="Q56">
            <v>10617.552698</v>
          </cell>
          <cell r="R56">
            <v>33445291</v>
          </cell>
        </row>
        <row r="57">
          <cell r="A57" t="str">
            <v>11050113455031</v>
          </cell>
          <cell r="O57">
            <v>0.120195</v>
          </cell>
          <cell r="P57">
            <v>1185</v>
          </cell>
          <cell r="Q57">
            <v>269.11139200000002</v>
          </cell>
          <cell r="R57">
            <v>318897</v>
          </cell>
        </row>
        <row r="58">
          <cell r="A58" t="str">
            <v>11050113457041</v>
          </cell>
          <cell r="O58">
            <v>8.5505999999999999E-2</v>
          </cell>
          <cell r="P58">
            <v>843</v>
          </cell>
          <cell r="Q58">
            <v>10020.492289</v>
          </cell>
          <cell r="R58">
            <v>8447275</v>
          </cell>
        </row>
        <row r="59">
          <cell r="A59" t="str">
            <v>11050113459002</v>
          </cell>
          <cell r="O59">
            <v>8.4288000000000002E-2</v>
          </cell>
          <cell r="P59">
            <v>831</v>
          </cell>
          <cell r="Q59">
            <v>1469.210589</v>
          </cell>
          <cell r="R59">
            <v>1220914</v>
          </cell>
        </row>
        <row r="60">
          <cell r="A60" t="str">
            <v>소계</v>
          </cell>
          <cell r="P60">
            <v>9859</v>
          </cell>
          <cell r="R60">
            <v>85691847</v>
          </cell>
        </row>
        <row r="61">
          <cell r="A61" t="str">
            <v>11050123405132</v>
          </cell>
          <cell r="O61">
            <v>0.22559899999999999</v>
          </cell>
          <cell r="P61">
            <v>490</v>
          </cell>
          <cell r="Q61">
            <v>10617.553061000001</v>
          </cell>
          <cell r="R61">
            <v>5202601</v>
          </cell>
        </row>
        <row r="62">
          <cell r="A62" t="str">
            <v>11050123405141</v>
          </cell>
          <cell r="O62">
            <v>0.49493599999999999</v>
          </cell>
          <cell r="P62">
            <v>1075</v>
          </cell>
          <cell r="Q62">
            <v>4826.2613950000004</v>
          </cell>
          <cell r="R62">
            <v>5188231</v>
          </cell>
        </row>
        <row r="63">
          <cell r="A63" t="str">
            <v>11050123455031</v>
          </cell>
          <cell r="O63">
            <v>6.3075999999999993E-2</v>
          </cell>
          <cell r="P63">
            <v>137</v>
          </cell>
          <cell r="Q63">
            <v>269.109489</v>
          </cell>
          <cell r="R63">
            <v>36868</v>
          </cell>
        </row>
        <row r="64">
          <cell r="A64" t="str">
            <v>11050123456003</v>
          </cell>
          <cell r="O64">
            <v>4.6039999999999996E-3</v>
          </cell>
          <cell r="P64">
            <v>10</v>
          </cell>
          <cell r="Q64">
            <v>3580.7</v>
          </cell>
          <cell r="R64">
            <v>35807</v>
          </cell>
        </row>
        <row r="65">
          <cell r="A65" t="str">
            <v>11050123457041</v>
          </cell>
          <cell r="O65">
            <v>5.8011E-2</v>
          </cell>
          <cell r="P65">
            <v>126</v>
          </cell>
          <cell r="Q65">
            <v>10020.492063</v>
          </cell>
          <cell r="R65">
            <v>1262582</v>
          </cell>
        </row>
        <row r="66">
          <cell r="A66" t="str">
            <v>11050123459002</v>
          </cell>
          <cell r="O66">
            <v>0.14640900000000001</v>
          </cell>
          <cell r="P66">
            <v>318</v>
          </cell>
          <cell r="Q66">
            <v>1469.210691</v>
          </cell>
          <cell r="R66">
            <v>467209</v>
          </cell>
        </row>
        <row r="67">
          <cell r="A67" t="str">
            <v>11050123460002</v>
          </cell>
          <cell r="O67">
            <v>3.6830000000000001E-3</v>
          </cell>
          <cell r="P67">
            <v>8</v>
          </cell>
          <cell r="Q67">
            <v>15197.25</v>
          </cell>
          <cell r="R67">
            <v>121578</v>
          </cell>
        </row>
        <row r="68">
          <cell r="A68" t="str">
            <v>11050123479023</v>
          </cell>
          <cell r="O68">
            <v>3.6830000000000001E-3</v>
          </cell>
          <cell r="P68">
            <v>8</v>
          </cell>
          <cell r="Q68">
            <v>14708.375</v>
          </cell>
          <cell r="R68">
            <v>117667</v>
          </cell>
        </row>
        <row r="69">
          <cell r="A69" t="str">
            <v>소계</v>
          </cell>
          <cell r="P69">
            <v>2172</v>
          </cell>
          <cell r="R69">
            <v>12432543</v>
          </cell>
        </row>
        <row r="70">
          <cell r="A70" t="str">
            <v>11070023402105</v>
          </cell>
          <cell r="O70">
            <v>0.15382999999999999</v>
          </cell>
          <cell r="P70">
            <v>5055</v>
          </cell>
          <cell r="Q70">
            <v>3948.1719090000001</v>
          </cell>
          <cell r="R70">
            <v>19958009</v>
          </cell>
        </row>
        <row r="71">
          <cell r="A71" t="str">
            <v>11070023403303</v>
          </cell>
          <cell r="O71">
            <v>0.49907200000000002</v>
          </cell>
          <cell r="P71">
            <v>16400</v>
          </cell>
          <cell r="Q71">
            <v>1870.0103039999999</v>
          </cell>
          <cell r="R71">
            <v>30668169</v>
          </cell>
        </row>
        <row r="72">
          <cell r="A72" t="str">
            <v>11070023403313</v>
          </cell>
          <cell r="O72">
            <v>0.15382999999999999</v>
          </cell>
          <cell r="P72">
            <v>5055</v>
          </cell>
          <cell r="Q72">
            <v>1656.7833820000001</v>
          </cell>
          <cell r="R72">
            <v>8375040</v>
          </cell>
        </row>
        <row r="73">
          <cell r="A73" t="str">
            <v>11070023414086</v>
          </cell>
          <cell r="O73">
            <v>3.8039000000000003E-2</v>
          </cell>
          <cell r="P73">
            <v>1250</v>
          </cell>
          <cell r="Q73">
            <v>4390.9560000000001</v>
          </cell>
          <cell r="R73">
            <v>5488694</v>
          </cell>
        </row>
        <row r="74">
          <cell r="A74" t="str">
            <v>11070023457041</v>
          </cell>
          <cell r="O74">
            <v>5.6389000000000002E-2</v>
          </cell>
          <cell r="P74">
            <v>1853</v>
          </cell>
          <cell r="Q74">
            <v>10020.492714</v>
          </cell>
          <cell r="R74">
            <v>18567973</v>
          </cell>
        </row>
        <row r="75">
          <cell r="A75" t="str">
            <v>11070023459002</v>
          </cell>
          <cell r="O75">
            <v>9.8840999999999998E-2</v>
          </cell>
          <cell r="P75">
            <v>3248</v>
          </cell>
          <cell r="Q75">
            <v>1469.2108989999999</v>
          </cell>
          <cell r="R75">
            <v>4771997</v>
          </cell>
        </row>
        <row r="76">
          <cell r="A76" t="str">
            <v>소계</v>
          </cell>
          <cell r="P76">
            <v>32861</v>
          </cell>
          <cell r="R76">
            <v>87829882</v>
          </cell>
        </row>
        <row r="77">
          <cell r="A77" t="str">
            <v>11090023409402</v>
          </cell>
          <cell r="O77">
            <v>0.12396799999999999</v>
          </cell>
          <cell r="P77">
            <v>5780</v>
          </cell>
          <cell r="Q77">
            <v>4025.6136670000001</v>
          </cell>
          <cell r="R77">
            <v>23268047</v>
          </cell>
        </row>
        <row r="78">
          <cell r="A78" t="str">
            <v>11090023409403</v>
          </cell>
          <cell r="O78">
            <v>0.72589800000000004</v>
          </cell>
          <cell r="P78">
            <v>33845</v>
          </cell>
          <cell r="Q78">
            <v>3576.9141669999999</v>
          </cell>
          <cell r="R78">
            <v>121060660</v>
          </cell>
        </row>
        <row r="79">
          <cell r="A79" t="str">
            <v>11090023451051</v>
          </cell>
          <cell r="O79">
            <v>1.9729999999999999E-3</v>
          </cell>
          <cell r="P79">
            <v>92</v>
          </cell>
          <cell r="Q79">
            <v>6198.4565210000001</v>
          </cell>
          <cell r="R79">
            <v>570258</v>
          </cell>
        </row>
        <row r="80">
          <cell r="A80" t="str">
            <v>11090023456004</v>
          </cell>
          <cell r="O80">
            <v>4.9801999999999999E-2</v>
          </cell>
          <cell r="P80">
            <v>2322</v>
          </cell>
          <cell r="Q80">
            <v>3826.7088709999998</v>
          </cell>
          <cell r="R80">
            <v>8885618</v>
          </cell>
        </row>
        <row r="81">
          <cell r="A81" t="str">
            <v>11090023456031</v>
          </cell>
          <cell r="O81">
            <v>9.8016000000000006E-2</v>
          </cell>
          <cell r="P81">
            <v>4570</v>
          </cell>
          <cell r="Q81">
            <v>8022.0098459999999</v>
          </cell>
          <cell r="R81">
            <v>36660585</v>
          </cell>
        </row>
        <row r="82">
          <cell r="A82" t="str">
            <v>11090023479024</v>
          </cell>
          <cell r="O82">
            <v>3.4299999999999999E-4</v>
          </cell>
          <cell r="P82">
            <v>16</v>
          </cell>
          <cell r="Q82">
            <v>5400</v>
          </cell>
          <cell r="R82">
            <v>86400</v>
          </cell>
        </row>
        <row r="83">
          <cell r="A83" t="str">
            <v>소계</v>
          </cell>
          <cell r="P83">
            <v>46625</v>
          </cell>
          <cell r="R83">
            <v>190531568</v>
          </cell>
        </row>
        <row r="84">
          <cell r="A84" t="str">
            <v>13070573407002</v>
          </cell>
          <cell r="O84">
            <v>4.0008000000000002E-2</v>
          </cell>
          <cell r="P84">
            <v>199</v>
          </cell>
          <cell r="Q84">
            <v>5799.3065319999996</v>
          </cell>
          <cell r="R84">
            <v>1154062</v>
          </cell>
        </row>
        <row r="85">
          <cell r="A85" t="str">
            <v>13070573407103</v>
          </cell>
          <cell r="O85">
            <v>0.81001199999999995</v>
          </cell>
          <cell r="P85">
            <v>4029</v>
          </cell>
          <cell r="Q85">
            <v>2381.23306</v>
          </cell>
          <cell r="R85">
            <v>9593988</v>
          </cell>
        </row>
        <row r="86">
          <cell r="A86" t="str">
            <v>13070573458001</v>
          </cell>
          <cell r="O86">
            <v>0.14998</v>
          </cell>
          <cell r="P86">
            <v>746</v>
          </cell>
          <cell r="Q86">
            <v>10555.591152000001</v>
          </cell>
          <cell r="R86">
            <v>7874471</v>
          </cell>
        </row>
        <row r="87">
          <cell r="A87" t="str">
            <v>소계</v>
          </cell>
          <cell r="P87">
            <v>4974</v>
          </cell>
          <cell r="R87">
            <v>18622521</v>
          </cell>
        </row>
        <row r="88">
          <cell r="A88" t="str">
            <v>13070753407103</v>
          </cell>
          <cell r="O88">
            <v>0.85009900000000005</v>
          </cell>
          <cell r="P88">
            <v>4293</v>
          </cell>
          <cell r="Q88">
            <v>2381.23317</v>
          </cell>
          <cell r="R88">
            <v>10222634</v>
          </cell>
        </row>
        <row r="89">
          <cell r="A89" t="str">
            <v>13070753458001</v>
          </cell>
          <cell r="O89">
            <v>0.14990100000000001</v>
          </cell>
          <cell r="P89">
            <v>757</v>
          </cell>
          <cell r="Q89">
            <v>10555.591809</v>
          </cell>
          <cell r="R89">
            <v>7990583</v>
          </cell>
        </row>
        <row r="90">
          <cell r="A90" t="str">
            <v>소계</v>
          </cell>
          <cell r="P90">
            <v>5050</v>
          </cell>
          <cell r="R90">
            <v>18213217</v>
          </cell>
        </row>
        <row r="91">
          <cell r="A91" t="str">
            <v>13070883407103</v>
          </cell>
          <cell r="O91">
            <v>0.85263199999999995</v>
          </cell>
          <cell r="P91">
            <v>162</v>
          </cell>
          <cell r="Q91">
            <v>2381.234567</v>
          </cell>
          <cell r="R91">
            <v>385760</v>
          </cell>
        </row>
        <row r="92">
          <cell r="A92" t="str">
            <v>13070883458001</v>
          </cell>
          <cell r="O92">
            <v>0.147368</v>
          </cell>
          <cell r="P92">
            <v>28</v>
          </cell>
          <cell r="Q92">
            <v>10555.607142000001</v>
          </cell>
          <cell r="R92">
            <v>295557</v>
          </cell>
        </row>
        <row r="93">
          <cell r="A93" t="str">
            <v>소계</v>
          </cell>
          <cell r="P93">
            <v>190</v>
          </cell>
          <cell r="R93">
            <v>681317</v>
          </cell>
        </row>
        <row r="94">
          <cell r="A94" t="str">
            <v>13121113412101</v>
          </cell>
          <cell r="O94">
            <v>0.73934699999999998</v>
          </cell>
          <cell r="P94">
            <v>12007</v>
          </cell>
          <cell r="Q94">
            <v>1931.8086940000001</v>
          </cell>
          <cell r="R94">
            <v>23195227</v>
          </cell>
        </row>
        <row r="95">
          <cell r="A95" t="str">
            <v>13121113416021</v>
          </cell>
          <cell r="O95">
            <v>4.4026999999999997E-2</v>
          </cell>
          <cell r="P95">
            <v>715</v>
          </cell>
          <cell r="Q95">
            <v>4097.3608389999999</v>
          </cell>
          <cell r="R95">
            <v>2929613</v>
          </cell>
        </row>
        <row r="96">
          <cell r="A96" t="str">
            <v>13121113451051</v>
          </cell>
          <cell r="O96">
            <v>1.17E-3</v>
          </cell>
          <cell r="P96">
            <v>19</v>
          </cell>
          <cell r="Q96">
            <v>6198.4736839999996</v>
          </cell>
          <cell r="R96">
            <v>117771</v>
          </cell>
        </row>
        <row r="97">
          <cell r="A97" t="str">
            <v>13121113451052</v>
          </cell>
          <cell r="O97">
            <v>3.14E-3</v>
          </cell>
          <cell r="P97">
            <v>51</v>
          </cell>
          <cell r="Q97">
            <v>6004.2352940000001</v>
          </cell>
          <cell r="R97">
            <v>306216</v>
          </cell>
        </row>
        <row r="98">
          <cell r="A98" t="str">
            <v>13121113456002</v>
          </cell>
          <cell r="O98">
            <v>0.20997499999999999</v>
          </cell>
          <cell r="P98">
            <v>3410</v>
          </cell>
          <cell r="Q98">
            <v>3239.9621699999998</v>
          </cell>
          <cell r="R98">
            <v>11048271</v>
          </cell>
        </row>
        <row r="99">
          <cell r="A99" t="str">
            <v>13121113479045</v>
          </cell>
          <cell r="O99">
            <v>2.3400000000000001E-3</v>
          </cell>
          <cell r="P99">
            <v>38</v>
          </cell>
          <cell r="Q99">
            <v>3868.3157890000002</v>
          </cell>
          <cell r="R99">
            <v>146996</v>
          </cell>
        </row>
        <row r="100">
          <cell r="A100" t="str">
            <v>소계</v>
          </cell>
          <cell r="P100">
            <v>16240</v>
          </cell>
          <cell r="R100">
            <v>37744094</v>
          </cell>
        </row>
        <row r="101">
          <cell r="A101" t="str">
            <v>13121123412101</v>
          </cell>
          <cell r="O101">
            <v>0.716256</v>
          </cell>
          <cell r="P101">
            <v>4362</v>
          </cell>
          <cell r="Q101">
            <v>1931.8088029999999</v>
          </cell>
          <cell r="R101">
            <v>8426550</v>
          </cell>
        </row>
        <row r="102">
          <cell r="A102" t="str">
            <v>13121123416021</v>
          </cell>
          <cell r="O102">
            <v>4.3841999999999999E-2</v>
          </cell>
          <cell r="P102">
            <v>267</v>
          </cell>
          <cell r="Q102">
            <v>4097.3595500000001</v>
          </cell>
          <cell r="R102">
            <v>1093995</v>
          </cell>
        </row>
        <row r="103">
          <cell r="A103" t="str">
            <v>13121123451051</v>
          </cell>
          <cell r="O103">
            <v>1.1490000000000001E-3</v>
          </cell>
          <cell r="P103">
            <v>7</v>
          </cell>
          <cell r="Q103">
            <v>6198.4285710000004</v>
          </cell>
          <cell r="R103">
            <v>43389</v>
          </cell>
        </row>
        <row r="104">
          <cell r="A104" t="str">
            <v>13121123451052</v>
          </cell>
          <cell r="O104">
            <v>3.1199999999999999E-3</v>
          </cell>
          <cell r="P104">
            <v>19</v>
          </cell>
          <cell r="Q104">
            <v>6004.2105259999998</v>
          </cell>
          <cell r="R104">
            <v>114080</v>
          </cell>
        </row>
        <row r="105">
          <cell r="A105" t="str">
            <v>13121123456002</v>
          </cell>
          <cell r="O105">
            <v>0.23333300000000001</v>
          </cell>
          <cell r="P105">
            <v>1421</v>
          </cell>
          <cell r="Q105">
            <v>3239.9619980000002</v>
          </cell>
          <cell r="R105">
            <v>4603986</v>
          </cell>
        </row>
        <row r="106">
          <cell r="A106" t="str">
            <v>13121123479045</v>
          </cell>
          <cell r="O106">
            <v>2.2989999999999998E-3</v>
          </cell>
          <cell r="P106">
            <v>14</v>
          </cell>
          <cell r="Q106">
            <v>3868.2857140000001</v>
          </cell>
          <cell r="R106">
            <v>54156</v>
          </cell>
        </row>
        <row r="107">
          <cell r="A107" t="str">
            <v>소계</v>
          </cell>
          <cell r="P107">
            <v>6090</v>
          </cell>
          <cell r="R107">
            <v>14336156</v>
          </cell>
        </row>
        <row r="108">
          <cell r="A108" t="str">
            <v>13131043410211</v>
          </cell>
          <cell r="O108">
            <v>2.6272E-2</v>
          </cell>
          <cell r="P108">
            <v>268</v>
          </cell>
          <cell r="Q108">
            <v>2003.4291040000001</v>
          </cell>
          <cell r="R108">
            <v>536919</v>
          </cell>
        </row>
        <row r="109">
          <cell r="A109" t="str">
            <v>13131043413002</v>
          </cell>
          <cell r="O109">
            <v>0.33790799999999999</v>
          </cell>
          <cell r="P109">
            <v>3447</v>
          </cell>
          <cell r="Q109">
            <v>1849.1076290000001</v>
          </cell>
          <cell r="R109">
            <v>6373874</v>
          </cell>
        </row>
        <row r="110">
          <cell r="A110" t="str">
            <v>13131043413008</v>
          </cell>
          <cell r="O110">
            <v>0.33790799999999999</v>
          </cell>
          <cell r="P110">
            <v>3447</v>
          </cell>
          <cell r="Q110">
            <v>2048.0351019999998</v>
          </cell>
          <cell r="R110">
            <v>7059577</v>
          </cell>
        </row>
        <row r="111">
          <cell r="A111" t="str">
            <v>13131043414101</v>
          </cell>
          <cell r="O111">
            <v>7.9502000000000003E-2</v>
          </cell>
          <cell r="P111">
            <v>811</v>
          </cell>
          <cell r="Q111">
            <v>3869.2564729999999</v>
          </cell>
          <cell r="R111">
            <v>3137967</v>
          </cell>
        </row>
        <row r="112">
          <cell r="A112" t="str">
            <v>13131043422002</v>
          </cell>
          <cell r="O112">
            <v>6.2837000000000004E-2</v>
          </cell>
          <cell r="P112">
            <v>641</v>
          </cell>
          <cell r="Q112">
            <v>3952.9110759999999</v>
          </cell>
          <cell r="R112">
            <v>2533816</v>
          </cell>
        </row>
        <row r="113">
          <cell r="A113" t="str">
            <v>13131043451051</v>
          </cell>
          <cell r="O113">
            <v>1.47E-3</v>
          </cell>
          <cell r="P113">
            <v>15</v>
          </cell>
          <cell r="Q113">
            <v>6198.4666660000003</v>
          </cell>
          <cell r="R113">
            <v>92977</v>
          </cell>
        </row>
        <row r="114">
          <cell r="A114" t="str">
            <v>13131043456001</v>
          </cell>
          <cell r="O114">
            <v>0.151064</v>
          </cell>
          <cell r="P114">
            <v>1541</v>
          </cell>
          <cell r="Q114">
            <v>2364.129136</v>
          </cell>
          <cell r="R114">
            <v>3643123</v>
          </cell>
        </row>
        <row r="115">
          <cell r="A115" t="str">
            <v>13131043479045</v>
          </cell>
          <cell r="O115">
            <v>3.039E-3</v>
          </cell>
          <cell r="P115">
            <v>31</v>
          </cell>
          <cell r="Q115">
            <v>3868.32258</v>
          </cell>
          <cell r="R115">
            <v>119918</v>
          </cell>
        </row>
        <row r="116">
          <cell r="A116" t="str">
            <v>소계</v>
          </cell>
          <cell r="P116">
            <v>10201</v>
          </cell>
          <cell r="R116">
            <v>23498171</v>
          </cell>
        </row>
        <row r="117">
          <cell r="A117" t="str">
            <v>15010013402105</v>
          </cell>
          <cell r="O117">
            <v>0.25431799999999999</v>
          </cell>
          <cell r="P117">
            <v>120</v>
          </cell>
          <cell r="Q117">
            <v>3948.1750000000002</v>
          </cell>
          <cell r="R117">
            <v>473780</v>
          </cell>
        </row>
        <row r="118">
          <cell r="A118" t="str">
            <v>15010013405132</v>
          </cell>
          <cell r="O118">
            <v>5.2983000000000002E-2</v>
          </cell>
          <cell r="P118">
            <v>25</v>
          </cell>
          <cell r="Q118">
            <v>10617.56</v>
          </cell>
          <cell r="R118">
            <v>265439</v>
          </cell>
        </row>
        <row r="119">
          <cell r="A119" t="str">
            <v>15010013406105</v>
          </cell>
          <cell r="O119">
            <v>1.4834999999999999E-2</v>
          </cell>
          <cell r="P119">
            <v>7</v>
          </cell>
          <cell r="Q119">
            <v>2706.5714280000002</v>
          </cell>
          <cell r="R119">
            <v>18946</v>
          </cell>
        </row>
        <row r="120">
          <cell r="A120" t="str">
            <v>15010013407103</v>
          </cell>
          <cell r="O120">
            <v>8.4770000000000002E-3</v>
          </cell>
          <cell r="P120">
            <v>4</v>
          </cell>
          <cell r="Q120">
            <v>2381.25</v>
          </cell>
          <cell r="R120">
            <v>9525</v>
          </cell>
        </row>
        <row r="121">
          <cell r="A121" t="str">
            <v>15010013407109</v>
          </cell>
          <cell r="O121">
            <v>8.4770000000000002E-3</v>
          </cell>
          <cell r="P121">
            <v>4</v>
          </cell>
          <cell r="Q121">
            <v>2800</v>
          </cell>
          <cell r="R121">
            <v>11200</v>
          </cell>
        </row>
        <row r="122">
          <cell r="A122" t="str">
            <v>15010013408161</v>
          </cell>
          <cell r="O122">
            <v>0.105966</v>
          </cell>
          <cell r="P122">
            <v>50</v>
          </cell>
          <cell r="Q122">
            <v>8639.7999999999993</v>
          </cell>
          <cell r="R122">
            <v>431990</v>
          </cell>
        </row>
        <row r="123">
          <cell r="A123" t="str">
            <v>15010013409402</v>
          </cell>
          <cell r="O123">
            <v>1.0279E-2</v>
          </cell>
          <cell r="P123">
            <v>4.8499999999999996</v>
          </cell>
          <cell r="Q123">
            <v>4025.5670100000002</v>
          </cell>
          <cell r="R123">
            <v>19524</v>
          </cell>
        </row>
        <row r="124">
          <cell r="A124" t="str">
            <v>15010013409403</v>
          </cell>
          <cell r="O124">
            <v>0.15894900000000001</v>
          </cell>
          <cell r="P124">
            <v>75</v>
          </cell>
          <cell r="Q124">
            <v>3576.92</v>
          </cell>
          <cell r="R124">
            <v>268269</v>
          </cell>
        </row>
        <row r="125">
          <cell r="A125" t="str">
            <v>15010013412207</v>
          </cell>
          <cell r="O125">
            <v>5.2983000000000002E-2</v>
          </cell>
          <cell r="P125">
            <v>25</v>
          </cell>
          <cell r="Q125">
            <v>1640</v>
          </cell>
          <cell r="R125">
            <v>41000</v>
          </cell>
        </row>
        <row r="126">
          <cell r="A126" t="str">
            <v>15010013413002</v>
          </cell>
          <cell r="O126">
            <v>6.1460000000000001E-2</v>
          </cell>
          <cell r="P126">
            <v>29</v>
          </cell>
          <cell r="Q126">
            <v>1849.1034480000001</v>
          </cell>
          <cell r="R126">
            <v>53624</v>
          </cell>
        </row>
        <row r="127">
          <cell r="A127" t="str">
            <v>15010013413021</v>
          </cell>
          <cell r="O127">
            <v>1.2716E-2</v>
          </cell>
          <cell r="P127">
            <v>6</v>
          </cell>
          <cell r="Q127">
            <v>1763.833333</v>
          </cell>
          <cell r="R127">
            <v>10583</v>
          </cell>
        </row>
        <row r="128">
          <cell r="A128" t="str">
            <v>15010013414101</v>
          </cell>
          <cell r="O128">
            <v>4.2389999999999997E-3</v>
          </cell>
          <cell r="P128">
            <v>2</v>
          </cell>
          <cell r="Q128">
            <v>3869.5</v>
          </cell>
          <cell r="R128">
            <v>7738</v>
          </cell>
        </row>
        <row r="129">
          <cell r="A129" t="str">
            <v>15010013455002</v>
          </cell>
          <cell r="O129">
            <v>1.0597000000000001E-2</v>
          </cell>
          <cell r="P129">
            <v>5</v>
          </cell>
          <cell r="Q129">
            <v>560</v>
          </cell>
          <cell r="R129">
            <v>2800</v>
          </cell>
        </row>
        <row r="130">
          <cell r="A130" t="str">
            <v>15010013455003</v>
          </cell>
          <cell r="O130">
            <v>2.3311999999999999E-2</v>
          </cell>
          <cell r="P130">
            <v>11</v>
          </cell>
          <cell r="Q130">
            <v>1237.4545450000001</v>
          </cell>
          <cell r="R130">
            <v>13612</v>
          </cell>
        </row>
        <row r="131">
          <cell r="A131" t="str">
            <v>15010013455031</v>
          </cell>
          <cell r="O131">
            <v>1.9074000000000001E-2</v>
          </cell>
          <cell r="P131">
            <v>9</v>
          </cell>
          <cell r="Q131">
            <v>269.11111099999999</v>
          </cell>
          <cell r="R131">
            <v>2422</v>
          </cell>
        </row>
        <row r="132">
          <cell r="A132" t="str">
            <v>15010013456000</v>
          </cell>
          <cell r="O132">
            <v>4.2386E-2</v>
          </cell>
          <cell r="P132">
            <v>20</v>
          </cell>
          <cell r="Q132">
            <v>2744.5</v>
          </cell>
          <cell r="R132">
            <v>54890</v>
          </cell>
        </row>
        <row r="133">
          <cell r="A133" t="str">
            <v>15010013456001</v>
          </cell>
          <cell r="O133">
            <v>1.6955000000000001E-2</v>
          </cell>
          <cell r="P133">
            <v>8</v>
          </cell>
          <cell r="Q133">
            <v>2364.125</v>
          </cell>
          <cell r="R133">
            <v>18913</v>
          </cell>
        </row>
        <row r="134">
          <cell r="A134" t="str">
            <v>15010013456003</v>
          </cell>
          <cell r="O134">
            <v>1.9074000000000001E-2</v>
          </cell>
          <cell r="P134">
            <v>9</v>
          </cell>
          <cell r="Q134">
            <v>3580.7777769999998</v>
          </cell>
          <cell r="R134">
            <v>32227</v>
          </cell>
        </row>
        <row r="135">
          <cell r="A135" t="str">
            <v>15010013456031</v>
          </cell>
          <cell r="O135">
            <v>1.2716E-2</v>
          </cell>
          <cell r="P135">
            <v>6</v>
          </cell>
          <cell r="Q135">
            <v>8022</v>
          </cell>
          <cell r="R135">
            <v>48132</v>
          </cell>
        </row>
        <row r="136">
          <cell r="A136" t="str">
            <v>15010013458001</v>
          </cell>
          <cell r="O136">
            <v>1.0597000000000001E-2</v>
          </cell>
          <cell r="P136">
            <v>5</v>
          </cell>
          <cell r="Q136">
            <v>10555.6</v>
          </cell>
          <cell r="R136">
            <v>52778</v>
          </cell>
        </row>
        <row r="137">
          <cell r="A137" t="str">
            <v>15010013458008</v>
          </cell>
          <cell r="O137">
            <v>4.2386E-2</v>
          </cell>
          <cell r="P137">
            <v>20</v>
          </cell>
          <cell r="Q137">
            <v>14944</v>
          </cell>
          <cell r="R137">
            <v>298880</v>
          </cell>
        </row>
        <row r="138">
          <cell r="A138" t="str">
            <v>15010013459002</v>
          </cell>
          <cell r="O138">
            <v>3.3909000000000002E-2</v>
          </cell>
          <cell r="P138">
            <v>16</v>
          </cell>
          <cell r="Q138">
            <v>1469.1875</v>
          </cell>
          <cell r="R138">
            <v>23508</v>
          </cell>
        </row>
        <row r="139">
          <cell r="A139" t="str">
            <v>15010013460001</v>
          </cell>
          <cell r="O139">
            <v>6.3579999999999999E-3</v>
          </cell>
          <cell r="P139">
            <v>3</v>
          </cell>
          <cell r="Q139">
            <v>15990.333333</v>
          </cell>
          <cell r="R139">
            <v>47971</v>
          </cell>
        </row>
        <row r="140">
          <cell r="A140" t="str">
            <v>15010013462001</v>
          </cell>
          <cell r="O140">
            <v>1.4834999999999999E-2</v>
          </cell>
          <cell r="P140">
            <v>7</v>
          </cell>
          <cell r="Q140">
            <v>872.14285700000005</v>
          </cell>
          <cell r="R140">
            <v>6105</v>
          </cell>
        </row>
        <row r="141">
          <cell r="A141" t="str">
            <v>15010013479021</v>
          </cell>
          <cell r="O141">
            <v>2.1189999999999998E-3</v>
          </cell>
          <cell r="P141">
            <v>1</v>
          </cell>
          <cell r="Q141">
            <v>5000</v>
          </cell>
          <cell r="R141">
            <v>5000</v>
          </cell>
        </row>
        <row r="142">
          <cell r="A142" t="str">
            <v>소계</v>
          </cell>
          <cell r="P142">
            <v>471.85</v>
          </cell>
          <cell r="R142">
            <v>2218856</v>
          </cell>
        </row>
        <row r="143">
          <cell r="A143" t="str">
            <v>34021053402015</v>
          </cell>
          <cell r="O143">
            <v>0.89022400000000002</v>
          </cell>
          <cell r="P143">
            <v>80000</v>
          </cell>
          <cell r="Q143">
            <v>3933.3647999999998</v>
          </cell>
          <cell r="R143">
            <v>314669184</v>
          </cell>
        </row>
        <row r="144">
          <cell r="A144" t="str">
            <v>34021053413002</v>
          </cell>
          <cell r="O144">
            <v>6.9771E-2</v>
          </cell>
          <cell r="P144">
            <v>6270</v>
          </cell>
          <cell r="Q144">
            <v>1849.107655</v>
          </cell>
          <cell r="R144">
            <v>11593905</v>
          </cell>
        </row>
        <row r="145">
          <cell r="A145" t="str">
            <v>34021053414101</v>
          </cell>
          <cell r="O145">
            <v>4.0003999999999998E-2</v>
          </cell>
          <cell r="P145">
            <v>3595</v>
          </cell>
          <cell r="Q145">
            <v>3869.2561890000002</v>
          </cell>
          <cell r="R145">
            <v>13909976</v>
          </cell>
        </row>
        <row r="146">
          <cell r="A146" t="str">
            <v>소계</v>
          </cell>
          <cell r="P146">
            <v>89865</v>
          </cell>
          <cell r="R146">
            <v>340173065</v>
          </cell>
        </row>
        <row r="147">
          <cell r="A147" t="str">
            <v>34033213403303</v>
          </cell>
          <cell r="O147">
            <v>0.77272700000000005</v>
          </cell>
          <cell r="P147">
            <v>1700</v>
          </cell>
          <cell r="Q147">
            <v>1870.0105880000001</v>
          </cell>
          <cell r="R147">
            <v>3179018</v>
          </cell>
        </row>
        <row r="148">
          <cell r="A148" t="str">
            <v>34033213403313</v>
          </cell>
          <cell r="O148">
            <v>0.227273</v>
          </cell>
          <cell r="P148">
            <v>500</v>
          </cell>
          <cell r="Q148">
            <v>1656.7840000000001</v>
          </cell>
          <cell r="R148">
            <v>828391</v>
          </cell>
        </row>
        <row r="149">
          <cell r="A149" t="str">
            <v>소계</v>
          </cell>
          <cell r="P149">
            <v>2200</v>
          </cell>
          <cell r="R149">
            <v>4007409</v>
          </cell>
        </row>
        <row r="150">
          <cell r="A150" t="str">
            <v>소계</v>
          </cell>
          <cell r="P150">
            <v>537008.85</v>
          </cell>
          <cell r="R150">
            <v>1641526973</v>
          </cell>
        </row>
        <row r="151">
          <cell r="A151" t="str">
            <v>모품번자품번</v>
          </cell>
          <cell r="O151" t="str">
            <v>단위사용량</v>
          </cell>
          <cell r="P151" t="str">
            <v>사용량</v>
          </cell>
          <cell r="Q151" t="str">
            <v>사용단가</v>
          </cell>
          <cell r="R151" t="str">
            <v>사용금액</v>
          </cell>
        </row>
        <row r="152">
          <cell r="A152" t="str">
            <v>12132013413002</v>
          </cell>
          <cell r="O152">
            <v>8.4735000000000005E-2</v>
          </cell>
          <cell r="P152">
            <v>1914</v>
          </cell>
          <cell r="Q152">
            <v>1849.107628</v>
          </cell>
          <cell r="R152">
            <v>3539192</v>
          </cell>
        </row>
        <row r="153">
          <cell r="A153" t="str">
            <v>12132013413007</v>
          </cell>
          <cell r="O153">
            <v>0.14242099999999999</v>
          </cell>
          <cell r="P153">
            <v>3217</v>
          </cell>
          <cell r="Q153">
            <v>1855.756294</v>
          </cell>
          <cell r="R153">
            <v>5969968</v>
          </cell>
        </row>
        <row r="154">
          <cell r="A154" t="str">
            <v>12132013413201</v>
          </cell>
          <cell r="O154">
            <v>2.5230000000000001E-3</v>
          </cell>
          <cell r="P154">
            <v>57</v>
          </cell>
          <cell r="Q154">
            <v>2524.0175429999999</v>
          </cell>
          <cell r="R154">
            <v>143869</v>
          </cell>
        </row>
        <row r="155">
          <cell r="A155" t="str">
            <v>12132013413305</v>
          </cell>
          <cell r="O155">
            <v>0.55020400000000003</v>
          </cell>
          <cell r="P155">
            <v>12428</v>
          </cell>
          <cell r="Q155">
            <v>1474.7902309999999</v>
          </cell>
          <cell r="R155">
            <v>18328693</v>
          </cell>
        </row>
        <row r="156">
          <cell r="A156" t="str">
            <v>12132013413371</v>
          </cell>
          <cell r="O156">
            <v>0.168187</v>
          </cell>
          <cell r="P156">
            <v>3799</v>
          </cell>
          <cell r="Q156">
            <v>1847.0847590000001</v>
          </cell>
          <cell r="R156">
            <v>7017075</v>
          </cell>
        </row>
        <row r="157">
          <cell r="A157" t="str">
            <v>12132013414121</v>
          </cell>
          <cell r="O157">
            <v>1.2307E-2</v>
          </cell>
          <cell r="P157">
            <v>278</v>
          </cell>
          <cell r="Q157">
            <v>3243.4964020000002</v>
          </cell>
          <cell r="R157">
            <v>901692</v>
          </cell>
        </row>
        <row r="158">
          <cell r="A158" t="str">
            <v>12132013415114</v>
          </cell>
          <cell r="O158">
            <v>2.6696000000000001E-2</v>
          </cell>
          <cell r="P158">
            <v>603</v>
          </cell>
          <cell r="Q158">
            <v>3303.4859029999998</v>
          </cell>
          <cell r="R158">
            <v>1992002</v>
          </cell>
        </row>
        <row r="159">
          <cell r="A159" t="str">
            <v>12132013429106</v>
          </cell>
          <cell r="O159">
            <v>1.2926999999999999E-2</v>
          </cell>
          <cell r="P159">
            <v>292</v>
          </cell>
          <cell r="Q159">
            <v>12500</v>
          </cell>
          <cell r="R159">
            <v>3650000</v>
          </cell>
        </row>
        <row r="160">
          <cell r="A160" t="str">
            <v>소계</v>
          </cell>
          <cell r="P160">
            <v>22588</v>
          </cell>
          <cell r="R160">
            <v>41542491</v>
          </cell>
        </row>
        <row r="161">
          <cell r="A161" t="str">
            <v>12132023413002</v>
          </cell>
          <cell r="O161">
            <v>8.1173999999999996E-2</v>
          </cell>
          <cell r="P161">
            <v>4198</v>
          </cell>
          <cell r="Q161">
            <v>1849.1076700000001</v>
          </cell>
          <cell r="R161">
            <v>7762554</v>
          </cell>
        </row>
        <row r="162">
          <cell r="A162" t="str">
            <v>12132023413007</v>
          </cell>
          <cell r="O162">
            <v>0.14218</v>
          </cell>
          <cell r="P162">
            <v>7353</v>
          </cell>
          <cell r="Q162">
            <v>1855.756153</v>
          </cell>
          <cell r="R162">
            <v>13645375</v>
          </cell>
        </row>
        <row r="163">
          <cell r="A163" t="str">
            <v>12132023413201</v>
          </cell>
          <cell r="O163">
            <v>2.784E-3</v>
          </cell>
          <cell r="P163">
            <v>144</v>
          </cell>
          <cell r="Q163">
            <v>2524.013888</v>
          </cell>
          <cell r="R163">
            <v>363458</v>
          </cell>
        </row>
        <row r="164">
          <cell r="A164" t="str">
            <v>12132023413305</v>
          </cell>
          <cell r="O164">
            <v>0.55118299999999998</v>
          </cell>
          <cell r="P164">
            <v>28505</v>
          </cell>
          <cell r="Q164">
            <v>1474.7902469999999</v>
          </cell>
          <cell r="R164">
            <v>42038896</v>
          </cell>
        </row>
        <row r="165">
          <cell r="A165" t="str">
            <v>12132023413371</v>
          </cell>
          <cell r="O165">
            <v>0.17130100000000001</v>
          </cell>
          <cell r="P165">
            <v>8859</v>
          </cell>
          <cell r="Q165">
            <v>1847.0846590000001</v>
          </cell>
          <cell r="R165">
            <v>16363323</v>
          </cell>
        </row>
        <row r="166">
          <cell r="A166" t="str">
            <v>12132023414121</v>
          </cell>
          <cell r="O166">
            <v>1.2548999999999999E-2</v>
          </cell>
          <cell r="P166">
            <v>649</v>
          </cell>
          <cell r="Q166">
            <v>3243.4976879999999</v>
          </cell>
          <cell r="R166">
            <v>2105030</v>
          </cell>
        </row>
        <row r="167">
          <cell r="A167" t="str">
            <v>12132023415114</v>
          </cell>
          <cell r="O167">
            <v>2.6723E-2</v>
          </cell>
          <cell r="P167">
            <v>1382</v>
          </cell>
          <cell r="Q167">
            <v>3303.4862509999998</v>
          </cell>
          <cell r="R167">
            <v>4565418</v>
          </cell>
        </row>
        <row r="168">
          <cell r="A168" t="str">
            <v>12132023429106</v>
          </cell>
          <cell r="O168">
            <v>1.2104999999999999E-2</v>
          </cell>
          <cell r="P168">
            <v>626</v>
          </cell>
          <cell r="Q168">
            <v>12500</v>
          </cell>
          <cell r="R168">
            <v>7825000</v>
          </cell>
        </row>
        <row r="169">
          <cell r="A169" t="str">
            <v>소계</v>
          </cell>
          <cell r="P169">
            <v>51716</v>
          </cell>
          <cell r="R169">
            <v>94669054</v>
          </cell>
        </row>
        <row r="170">
          <cell r="A170" t="str">
            <v>12132073413002</v>
          </cell>
          <cell r="O170">
            <v>8.5106000000000001E-2</v>
          </cell>
          <cell r="P170">
            <v>124</v>
          </cell>
          <cell r="Q170">
            <v>1849.104838</v>
          </cell>
          <cell r="R170">
            <v>229289</v>
          </cell>
        </row>
        <row r="171">
          <cell r="A171" t="str">
            <v>12132073413007</v>
          </cell>
          <cell r="O171">
            <v>0.152368</v>
          </cell>
          <cell r="P171">
            <v>222</v>
          </cell>
          <cell r="Q171">
            <v>1855.756756</v>
          </cell>
          <cell r="R171">
            <v>411978</v>
          </cell>
        </row>
        <row r="172">
          <cell r="A172" t="str">
            <v>12132073413201</v>
          </cell>
          <cell r="O172">
            <v>2.745E-3</v>
          </cell>
          <cell r="P172">
            <v>4</v>
          </cell>
          <cell r="Q172">
            <v>2524</v>
          </cell>
          <cell r="R172">
            <v>10096</v>
          </cell>
        </row>
        <row r="173">
          <cell r="A173" t="str">
            <v>12132073413305</v>
          </cell>
          <cell r="O173">
            <v>0.547014</v>
          </cell>
          <cell r="P173">
            <v>797</v>
          </cell>
          <cell r="Q173">
            <v>1474.7904639999999</v>
          </cell>
          <cell r="R173">
            <v>1175408</v>
          </cell>
        </row>
        <row r="174">
          <cell r="A174" t="str">
            <v>12132073413371</v>
          </cell>
          <cell r="O174">
            <v>0.159918</v>
          </cell>
          <cell r="P174">
            <v>233</v>
          </cell>
          <cell r="Q174">
            <v>1847.085836</v>
          </cell>
          <cell r="R174">
            <v>430370</v>
          </cell>
        </row>
        <row r="175">
          <cell r="A175" t="str">
            <v>12132073414121</v>
          </cell>
          <cell r="O175">
            <v>1.2354E-2</v>
          </cell>
          <cell r="P175">
            <v>18</v>
          </cell>
          <cell r="Q175">
            <v>3243.5</v>
          </cell>
          <cell r="R175">
            <v>58383</v>
          </cell>
        </row>
        <row r="176">
          <cell r="A176" t="str">
            <v>12132073415114</v>
          </cell>
          <cell r="O176">
            <v>2.6766999999999999E-2</v>
          </cell>
          <cell r="P176">
            <v>39</v>
          </cell>
          <cell r="Q176">
            <v>3303.4871790000002</v>
          </cell>
          <cell r="R176">
            <v>128836</v>
          </cell>
        </row>
        <row r="177">
          <cell r="A177" t="str">
            <v>12132073429106</v>
          </cell>
          <cell r="O177">
            <v>1.3727E-2</v>
          </cell>
          <cell r="P177">
            <v>20</v>
          </cell>
          <cell r="Q177">
            <v>12500</v>
          </cell>
          <cell r="R177">
            <v>250000</v>
          </cell>
        </row>
        <row r="178">
          <cell r="A178" t="str">
            <v>소계</v>
          </cell>
          <cell r="P178">
            <v>1457</v>
          </cell>
          <cell r="R178">
            <v>2694360</v>
          </cell>
        </row>
        <row r="179">
          <cell r="A179" t="str">
            <v>소계</v>
          </cell>
          <cell r="P179">
            <v>75761</v>
          </cell>
          <cell r="R179">
            <v>138905905</v>
          </cell>
        </row>
        <row r="180">
          <cell r="A180" t="str">
            <v>소계</v>
          </cell>
        </row>
        <row r="181">
          <cell r="A181" t="str">
            <v>소계</v>
          </cell>
        </row>
        <row r="182">
          <cell r="A182" t="str">
            <v>소계</v>
          </cell>
        </row>
        <row r="183">
          <cell r="A183" t="str">
            <v>소계</v>
          </cell>
        </row>
        <row r="184">
          <cell r="A184" t="str">
            <v>소계</v>
          </cell>
        </row>
        <row r="185">
          <cell r="A185" t="str">
            <v>소계</v>
          </cell>
        </row>
        <row r="186">
          <cell r="A186" t="str">
            <v>소계</v>
          </cell>
        </row>
        <row r="187">
          <cell r="A187" t="str">
            <v>소계</v>
          </cell>
        </row>
        <row r="188">
          <cell r="A188" t="str">
            <v>소계</v>
          </cell>
        </row>
        <row r="189">
          <cell r="A189" t="str">
            <v>소계</v>
          </cell>
        </row>
        <row r="190">
          <cell r="A190" t="str">
            <v>소계</v>
          </cell>
        </row>
        <row r="191">
          <cell r="A191" t="str">
            <v>소계</v>
          </cell>
        </row>
        <row r="192">
          <cell r="A192" t="str">
            <v>소계</v>
          </cell>
        </row>
        <row r="193">
          <cell r="A193" t="str">
            <v>소계</v>
          </cell>
        </row>
        <row r="194">
          <cell r="A194" t="str">
            <v>소계</v>
          </cell>
        </row>
        <row r="195">
          <cell r="A195" t="str">
            <v>소계</v>
          </cell>
        </row>
        <row r="196">
          <cell r="A196" t="str">
            <v>소계</v>
          </cell>
        </row>
        <row r="197">
          <cell r="A197" t="str">
            <v>소계</v>
          </cell>
        </row>
        <row r="198">
          <cell r="A198" t="str">
            <v>소계</v>
          </cell>
        </row>
        <row r="199">
          <cell r="A199" t="str">
            <v>소계</v>
          </cell>
        </row>
        <row r="200">
          <cell r="A200" t="str">
            <v>소계</v>
          </cell>
        </row>
        <row r="201">
          <cell r="A201" t="str">
            <v>소계</v>
          </cell>
        </row>
        <row r="202">
          <cell r="A202" t="str">
            <v>소계</v>
          </cell>
        </row>
        <row r="203">
          <cell r="A203" t="str">
            <v>소계</v>
          </cell>
        </row>
        <row r="204">
          <cell r="A204" t="str">
            <v>소계</v>
          </cell>
        </row>
        <row r="205">
          <cell r="A205" t="str">
            <v>소계</v>
          </cell>
        </row>
        <row r="206">
          <cell r="A206" t="str">
            <v>소계</v>
          </cell>
        </row>
        <row r="207">
          <cell r="A207" t="str">
            <v>소계</v>
          </cell>
        </row>
        <row r="208">
          <cell r="A208" t="str">
            <v>소계</v>
          </cell>
        </row>
        <row r="209">
          <cell r="A209" t="str">
            <v>소계</v>
          </cell>
        </row>
        <row r="210">
          <cell r="A210" t="str">
            <v>소계</v>
          </cell>
        </row>
        <row r="211">
          <cell r="A211" t="str">
            <v>소계</v>
          </cell>
        </row>
        <row r="212">
          <cell r="A212" t="str">
            <v>소계</v>
          </cell>
        </row>
        <row r="213">
          <cell r="A213" t="str">
            <v>소계</v>
          </cell>
        </row>
        <row r="214">
          <cell r="A214" t="str">
            <v>소계</v>
          </cell>
        </row>
        <row r="215">
          <cell r="A215" t="str">
            <v>소계</v>
          </cell>
        </row>
        <row r="216">
          <cell r="A216" t="str">
            <v>소계</v>
          </cell>
        </row>
        <row r="217">
          <cell r="A217" t="str">
            <v>소계</v>
          </cell>
        </row>
        <row r="218">
          <cell r="A218" t="str">
            <v>소계</v>
          </cell>
        </row>
        <row r="219">
          <cell r="A219" t="str">
            <v>소계</v>
          </cell>
        </row>
        <row r="220">
          <cell r="A220" t="str">
            <v>소계</v>
          </cell>
        </row>
        <row r="221">
          <cell r="A221" t="str">
            <v>소계</v>
          </cell>
        </row>
        <row r="222">
          <cell r="A222" t="str">
            <v>소계</v>
          </cell>
        </row>
        <row r="223">
          <cell r="A223" t="str">
            <v>소계</v>
          </cell>
        </row>
        <row r="224">
          <cell r="A224" t="str">
            <v>소계</v>
          </cell>
        </row>
        <row r="225">
          <cell r="A225" t="str">
            <v>소계</v>
          </cell>
        </row>
        <row r="226">
          <cell r="A226" t="str">
            <v>소계</v>
          </cell>
        </row>
        <row r="227">
          <cell r="A227" t="str">
            <v>소계</v>
          </cell>
        </row>
        <row r="228">
          <cell r="A228" t="str">
            <v>소계</v>
          </cell>
        </row>
        <row r="229">
          <cell r="A229" t="str">
            <v>소계</v>
          </cell>
        </row>
        <row r="230">
          <cell r="A230" t="str">
            <v>소계</v>
          </cell>
        </row>
        <row r="231">
          <cell r="A231" t="str">
            <v>소계</v>
          </cell>
        </row>
        <row r="232">
          <cell r="A232" t="str">
            <v>소계</v>
          </cell>
        </row>
        <row r="233">
          <cell r="A233" t="str">
            <v>소계</v>
          </cell>
        </row>
        <row r="234">
          <cell r="A234" t="str">
            <v>소계</v>
          </cell>
        </row>
        <row r="235">
          <cell r="A235" t="str">
            <v>소계</v>
          </cell>
        </row>
        <row r="236">
          <cell r="A236" t="str">
            <v>소계</v>
          </cell>
        </row>
        <row r="237">
          <cell r="A237" t="str">
            <v>소계</v>
          </cell>
        </row>
        <row r="238">
          <cell r="A238" t="str">
            <v>소계</v>
          </cell>
        </row>
        <row r="239">
          <cell r="A239" t="str">
            <v>소계</v>
          </cell>
        </row>
        <row r="240">
          <cell r="A240" t="str">
            <v>소계</v>
          </cell>
        </row>
        <row r="241">
          <cell r="A241" t="str">
            <v>소계</v>
          </cell>
        </row>
        <row r="242">
          <cell r="A242" t="str">
            <v>소계</v>
          </cell>
        </row>
        <row r="243">
          <cell r="A243" t="str">
            <v>소계</v>
          </cell>
        </row>
        <row r="244">
          <cell r="A244" t="str">
            <v>소계</v>
          </cell>
        </row>
        <row r="245">
          <cell r="A245" t="str">
            <v>소계</v>
          </cell>
        </row>
        <row r="246">
          <cell r="A246" t="str">
            <v>소계</v>
          </cell>
        </row>
        <row r="247">
          <cell r="A247" t="str">
            <v>소계</v>
          </cell>
        </row>
        <row r="248">
          <cell r="A248" t="str">
            <v>소계</v>
          </cell>
        </row>
        <row r="249">
          <cell r="A249" t="str">
            <v>소계</v>
          </cell>
        </row>
        <row r="250">
          <cell r="A250" t="str">
            <v>소계</v>
          </cell>
        </row>
        <row r="251">
          <cell r="A251" t="str">
            <v>소계</v>
          </cell>
        </row>
        <row r="252">
          <cell r="A252" t="str">
            <v>소계</v>
          </cell>
        </row>
        <row r="253">
          <cell r="A253" t="str">
            <v>소계</v>
          </cell>
        </row>
        <row r="254">
          <cell r="A254" t="str">
            <v>소계</v>
          </cell>
        </row>
        <row r="255">
          <cell r="A255" t="str">
            <v>소계</v>
          </cell>
        </row>
        <row r="256">
          <cell r="A256" t="str">
            <v>소계</v>
          </cell>
        </row>
        <row r="257">
          <cell r="A257" t="str">
            <v>소계</v>
          </cell>
        </row>
        <row r="258">
          <cell r="A258" t="str">
            <v>소계</v>
          </cell>
        </row>
        <row r="259">
          <cell r="A259" t="str">
            <v>소계</v>
          </cell>
        </row>
        <row r="260">
          <cell r="A260" t="str">
            <v>소계</v>
          </cell>
        </row>
        <row r="261">
          <cell r="A261" t="str">
            <v>소계</v>
          </cell>
        </row>
        <row r="262">
          <cell r="A262" t="str">
            <v>소계</v>
          </cell>
        </row>
        <row r="263">
          <cell r="A263" t="str">
            <v>소계</v>
          </cell>
        </row>
        <row r="264">
          <cell r="A264" t="str">
            <v>소계</v>
          </cell>
        </row>
        <row r="265">
          <cell r="A265" t="str">
            <v>소계</v>
          </cell>
        </row>
        <row r="266">
          <cell r="A266" t="str">
            <v>소계</v>
          </cell>
        </row>
        <row r="267">
          <cell r="A267" t="str">
            <v>소계</v>
          </cell>
        </row>
        <row r="268">
          <cell r="A268" t="str">
            <v>소계</v>
          </cell>
        </row>
        <row r="269">
          <cell r="A269" t="str">
            <v>소계</v>
          </cell>
        </row>
        <row r="270">
          <cell r="A270" t="str">
            <v>소계</v>
          </cell>
        </row>
        <row r="271">
          <cell r="A271" t="str">
            <v>소계</v>
          </cell>
        </row>
        <row r="272">
          <cell r="A272" t="str">
            <v>소계</v>
          </cell>
        </row>
        <row r="273">
          <cell r="A273" t="str">
            <v>소계</v>
          </cell>
        </row>
        <row r="274">
          <cell r="A274" t="str">
            <v>소계</v>
          </cell>
        </row>
        <row r="275">
          <cell r="A275" t="str">
            <v>소계</v>
          </cell>
        </row>
        <row r="276">
          <cell r="A276" t="str">
            <v>소계</v>
          </cell>
        </row>
        <row r="277">
          <cell r="A277" t="str">
            <v>소계</v>
          </cell>
        </row>
        <row r="278">
          <cell r="A278" t="str">
            <v>소계</v>
          </cell>
        </row>
        <row r="279">
          <cell r="A279" t="str">
            <v>소계</v>
          </cell>
        </row>
        <row r="280">
          <cell r="A280" t="str">
            <v>소계</v>
          </cell>
        </row>
        <row r="281">
          <cell r="A281" t="str">
            <v>소계</v>
          </cell>
        </row>
        <row r="282">
          <cell r="A282" t="str">
            <v>소계</v>
          </cell>
        </row>
        <row r="283">
          <cell r="A283" t="str">
            <v>소계</v>
          </cell>
        </row>
        <row r="284">
          <cell r="A284" t="str">
            <v>소계</v>
          </cell>
        </row>
        <row r="285">
          <cell r="A285" t="str">
            <v>소계</v>
          </cell>
        </row>
        <row r="286">
          <cell r="A286" t="str">
            <v>소계</v>
          </cell>
        </row>
        <row r="287">
          <cell r="A287" t="str">
            <v>소계</v>
          </cell>
        </row>
        <row r="288">
          <cell r="A288" t="str">
            <v>소계</v>
          </cell>
        </row>
        <row r="289">
          <cell r="A289" t="str">
            <v>소계</v>
          </cell>
        </row>
        <row r="290">
          <cell r="A290" t="str">
            <v>소계</v>
          </cell>
        </row>
        <row r="291">
          <cell r="A291" t="str">
            <v>소계</v>
          </cell>
        </row>
        <row r="292">
          <cell r="A292" t="str">
            <v>소계</v>
          </cell>
        </row>
        <row r="293">
          <cell r="A293" t="str">
            <v>소계</v>
          </cell>
        </row>
        <row r="294">
          <cell r="A294" t="str">
            <v>소계</v>
          </cell>
        </row>
        <row r="295">
          <cell r="A295" t="str">
            <v>소계</v>
          </cell>
        </row>
        <row r="296">
          <cell r="A296" t="str">
            <v>소계</v>
          </cell>
        </row>
        <row r="297">
          <cell r="A297" t="str">
            <v>소계</v>
          </cell>
        </row>
        <row r="298">
          <cell r="A298" t="str">
            <v>소계</v>
          </cell>
        </row>
        <row r="299">
          <cell r="A299" t="str">
            <v>소계</v>
          </cell>
        </row>
        <row r="300">
          <cell r="A300" t="str">
            <v>소계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BF63-D901-465E-B40A-405145C989C0}">
  <dimension ref="A1:BW332"/>
  <sheetViews>
    <sheetView showGridLines="0" tabSelected="1" topLeftCell="H4" zoomScale="85" zoomScaleNormal="85" workbookViewId="0">
      <pane xSplit="11" ySplit="1" topLeftCell="AV21" activePane="bottomRight" state="frozen"/>
      <selection pane="bottomRight" activeCell="R6" sqref="R6:T9"/>
      <selection pane="bottomLeft" activeCell="H5" sqref="H5"/>
      <selection pane="topRight" activeCell="S4" sqref="S4"/>
    </sheetView>
  </sheetViews>
  <sheetFormatPr defaultColWidth="12.25" defaultRowHeight="14.45"/>
  <cols>
    <col min="1" max="3" width="4.375" style="1" hidden="1" customWidth="1"/>
    <col min="4" max="4" width="6" style="1" hidden="1" customWidth="1"/>
    <col min="5" max="5" width="8.375" style="1" hidden="1" customWidth="1"/>
    <col min="6" max="6" width="4.375" style="1" hidden="1" customWidth="1"/>
    <col min="7" max="7" width="16.375" style="10" hidden="1" customWidth="1"/>
    <col min="8" max="8" width="16.375" style="10" customWidth="1"/>
    <col min="9" max="9" width="4.375" style="10" hidden="1" customWidth="1"/>
    <col min="10" max="14" width="4.375" style="1" hidden="1" customWidth="1"/>
    <col min="15" max="16" width="8.375" style="1" hidden="1" customWidth="1"/>
    <col min="17" max="17" width="12.875" style="1" hidden="1" customWidth="1"/>
    <col min="18" max="18" width="23.875" style="1" customWidth="1"/>
    <col min="19" max="19" width="8" style="4" customWidth="1"/>
    <col min="20" max="20" width="13.5" style="1" customWidth="1"/>
    <col min="21" max="21" width="10.75" style="1" customWidth="1"/>
    <col min="22" max="22" width="14.375" style="3" customWidth="1"/>
    <col min="23" max="23" width="7.25" style="4" customWidth="1"/>
    <col min="24" max="24" width="13.5" style="1" customWidth="1"/>
    <col min="25" max="25" width="10.75" style="1" customWidth="1"/>
    <col min="26" max="26" width="14.375" style="3" customWidth="1"/>
    <col min="27" max="27" width="7.25" style="4" customWidth="1"/>
    <col min="28" max="28" width="13.5" style="1" customWidth="1"/>
    <col min="29" max="29" width="10.75" style="1" customWidth="1"/>
    <col min="30" max="30" width="14.375" style="3" customWidth="1"/>
    <col min="31" max="31" width="7.25" style="4" customWidth="1"/>
    <col min="32" max="32" width="13.5" style="1" customWidth="1"/>
    <col min="33" max="33" width="10.75" style="1" customWidth="1"/>
    <col min="34" max="34" width="14.375" style="3" customWidth="1"/>
    <col min="35" max="35" width="7.25" style="4" customWidth="1"/>
    <col min="36" max="36" width="13.5" style="1" customWidth="1"/>
    <col min="37" max="37" width="10.75" style="1" customWidth="1"/>
    <col min="38" max="38" width="14.375" style="3" customWidth="1"/>
    <col min="39" max="39" width="7.25" style="4" customWidth="1"/>
    <col min="40" max="40" width="13.5" style="1" customWidth="1"/>
    <col min="41" max="41" width="10.75" style="1" customWidth="1"/>
    <col min="42" max="42" width="14.375" style="3" customWidth="1"/>
    <col min="43" max="43" width="7.25" style="4" customWidth="1"/>
    <col min="44" max="44" width="13.5" style="1" customWidth="1"/>
    <col min="45" max="45" width="10.75" style="1" customWidth="1"/>
    <col min="46" max="46" width="14.375" style="3" customWidth="1"/>
    <col min="47" max="47" width="7.25" style="4" customWidth="1"/>
    <col min="48" max="48" width="13.5" style="1" customWidth="1"/>
    <col min="49" max="49" width="10.75" style="1" customWidth="1"/>
    <col min="50" max="50" width="14.375" style="3" customWidth="1"/>
    <col min="51" max="51" width="7.25" style="4" customWidth="1"/>
    <col min="52" max="52" width="13.5" style="1" customWidth="1"/>
    <col min="53" max="53" width="10.75" style="1" customWidth="1"/>
    <col min="54" max="54" width="14.375" style="3" customWidth="1"/>
    <col min="55" max="55" width="7.25" style="4" customWidth="1"/>
    <col min="56" max="56" width="13.5" style="1" customWidth="1"/>
    <col min="57" max="57" width="10.75" style="1" customWidth="1"/>
    <col min="58" max="58" width="14.375" style="3" customWidth="1"/>
    <col min="59" max="59" width="7.25" style="4" customWidth="1"/>
    <col min="60" max="60" width="13.5" style="1" customWidth="1"/>
    <col min="61" max="61" width="10.75" style="1" customWidth="1"/>
    <col min="62" max="62" width="14.375" style="3" customWidth="1"/>
    <col min="63" max="63" width="7.25" style="4" customWidth="1"/>
    <col min="64" max="64" width="13.5" style="1" customWidth="1"/>
    <col min="65" max="65" width="10.75" style="1" customWidth="1"/>
    <col min="66" max="66" width="14.375" style="3" customWidth="1"/>
    <col min="67" max="67" width="7.25" style="4" customWidth="1"/>
    <col min="68" max="68" width="13.5" style="1" customWidth="1"/>
    <col min="69" max="69" width="10.75" style="1" customWidth="1"/>
    <col min="70" max="70" width="14.5" style="3" customWidth="1"/>
    <col min="71" max="71" width="7.25" style="4" customWidth="1"/>
    <col min="72" max="72" width="13.5" style="1" customWidth="1"/>
    <col min="73" max="73" width="10.75" style="1" hidden="1" customWidth="1"/>
    <col min="74" max="74" width="14.5" style="3" hidden="1" customWidth="1"/>
    <col min="75" max="16384" width="12.25" style="1"/>
  </cols>
  <sheetData>
    <row r="1" spans="2:74">
      <c r="G1" s="1"/>
      <c r="H1" s="2"/>
      <c r="I1" s="2"/>
      <c r="BV1" s="5"/>
    </row>
    <row r="2" spans="2:74" ht="32.450000000000003" customHeight="1">
      <c r="G2" s="6"/>
      <c r="H2" s="7" t="s">
        <v>0</v>
      </c>
      <c r="I2" s="7"/>
      <c r="J2" s="6"/>
      <c r="K2" s="6"/>
      <c r="L2" s="6"/>
      <c r="M2" s="6"/>
      <c r="N2" s="6"/>
      <c r="O2" s="6"/>
      <c r="P2" s="6"/>
      <c r="Q2" s="6"/>
      <c r="R2" s="8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9"/>
    </row>
    <row r="3" spans="2:74" ht="17.45" customHeight="1">
      <c r="BV3" s="11"/>
    </row>
    <row r="4" spans="2:74" s="14" customFormat="1" ht="22.5" customHeight="1" thickBot="1"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86" t="s">
        <v>1</v>
      </c>
      <c r="T4" s="187"/>
      <c r="U4" s="187"/>
      <c r="V4" s="187"/>
      <c r="W4" s="186" t="s">
        <v>2</v>
      </c>
      <c r="X4" s="187"/>
      <c r="Y4" s="187"/>
      <c r="Z4" s="187"/>
      <c r="AA4" s="186" t="s">
        <v>3</v>
      </c>
      <c r="AB4" s="187"/>
      <c r="AC4" s="187"/>
      <c r="AD4" s="187"/>
      <c r="AE4" s="186" t="s">
        <v>4</v>
      </c>
      <c r="AF4" s="187"/>
      <c r="AG4" s="187"/>
      <c r="AH4" s="187"/>
      <c r="AI4" s="186">
        <v>2022.05</v>
      </c>
      <c r="AJ4" s="187"/>
      <c r="AK4" s="187"/>
      <c r="AL4" s="187"/>
      <c r="AM4" s="186">
        <v>2022.06</v>
      </c>
      <c r="AN4" s="187"/>
      <c r="AO4" s="187"/>
      <c r="AP4" s="187"/>
      <c r="AQ4" s="186">
        <v>2022.07</v>
      </c>
      <c r="AR4" s="187"/>
      <c r="AS4" s="187"/>
      <c r="AT4" s="187"/>
      <c r="AU4" s="186">
        <v>2022.08</v>
      </c>
      <c r="AV4" s="187"/>
      <c r="AW4" s="187"/>
      <c r="AX4" s="187"/>
      <c r="AY4" s="186">
        <v>2022.09</v>
      </c>
      <c r="AZ4" s="187"/>
      <c r="BA4" s="187"/>
      <c r="BB4" s="187"/>
      <c r="BC4" s="186" t="s">
        <v>5</v>
      </c>
      <c r="BD4" s="187"/>
      <c r="BE4" s="187"/>
      <c r="BF4" s="188"/>
      <c r="BG4" s="186" t="s">
        <v>6</v>
      </c>
      <c r="BH4" s="187"/>
      <c r="BI4" s="187"/>
      <c r="BJ4" s="188"/>
      <c r="BK4" s="186" t="s">
        <v>7</v>
      </c>
      <c r="BL4" s="187"/>
      <c r="BM4" s="187"/>
      <c r="BN4" s="188"/>
      <c r="BO4" s="186" t="s">
        <v>8</v>
      </c>
      <c r="BP4" s="187"/>
      <c r="BQ4" s="187"/>
      <c r="BR4" s="187"/>
      <c r="BS4" s="186">
        <v>2023.02</v>
      </c>
      <c r="BT4" s="187"/>
      <c r="BU4" s="187"/>
      <c r="BV4" s="188"/>
    </row>
    <row r="5" spans="2:74" s="17" customFormat="1" ht="35.25" customHeight="1" thickBot="1">
      <c r="E5" s="18" t="s">
        <v>9</v>
      </c>
      <c r="F5" s="19" t="s">
        <v>9</v>
      </c>
      <c r="G5" s="20" t="s">
        <v>10</v>
      </c>
      <c r="H5" s="21" t="s">
        <v>11</v>
      </c>
      <c r="I5" s="22"/>
      <c r="J5" s="23"/>
      <c r="K5" s="24" t="s">
        <v>12</v>
      </c>
      <c r="L5" s="24" t="s">
        <v>13</v>
      </c>
      <c r="M5" s="24" t="s">
        <v>14</v>
      </c>
      <c r="N5" s="24" t="s">
        <v>15</v>
      </c>
      <c r="O5" s="24" t="s">
        <v>16</v>
      </c>
      <c r="P5" s="25" t="s">
        <v>17</v>
      </c>
      <c r="Q5" s="26" t="s">
        <v>18</v>
      </c>
      <c r="R5" s="27" t="s">
        <v>19</v>
      </c>
      <c r="S5" s="28" t="s">
        <v>20</v>
      </c>
      <c r="T5" s="24" t="s">
        <v>21</v>
      </c>
      <c r="U5" s="24" t="s">
        <v>22</v>
      </c>
      <c r="V5" s="30" t="s">
        <v>23</v>
      </c>
      <c r="W5" s="28" t="s">
        <v>20</v>
      </c>
      <c r="X5" s="24" t="s">
        <v>21</v>
      </c>
      <c r="Y5" s="24" t="s">
        <v>22</v>
      </c>
      <c r="Z5" s="30" t="s">
        <v>23</v>
      </c>
      <c r="AA5" s="28" t="s">
        <v>20</v>
      </c>
      <c r="AB5" s="24" t="s">
        <v>21</v>
      </c>
      <c r="AC5" s="24" t="s">
        <v>22</v>
      </c>
      <c r="AD5" s="30" t="s">
        <v>23</v>
      </c>
      <c r="AE5" s="28" t="s">
        <v>20</v>
      </c>
      <c r="AF5" s="24" t="s">
        <v>21</v>
      </c>
      <c r="AG5" s="24" t="s">
        <v>22</v>
      </c>
      <c r="AH5" s="30" t="s">
        <v>23</v>
      </c>
      <c r="AI5" s="28" t="s">
        <v>20</v>
      </c>
      <c r="AJ5" s="24" t="s">
        <v>21</v>
      </c>
      <c r="AK5" s="24" t="s">
        <v>22</v>
      </c>
      <c r="AL5" s="30" t="s">
        <v>23</v>
      </c>
      <c r="AM5" s="28" t="s">
        <v>20</v>
      </c>
      <c r="AN5" s="24" t="s">
        <v>21</v>
      </c>
      <c r="AO5" s="24" t="s">
        <v>22</v>
      </c>
      <c r="AP5" s="30" t="s">
        <v>23</v>
      </c>
      <c r="AQ5" s="28" t="s">
        <v>20</v>
      </c>
      <c r="AR5" s="24" t="s">
        <v>21</v>
      </c>
      <c r="AS5" s="24" t="s">
        <v>22</v>
      </c>
      <c r="AT5" s="30" t="s">
        <v>23</v>
      </c>
      <c r="AU5" s="28" t="s">
        <v>20</v>
      </c>
      <c r="AV5" s="24" t="s">
        <v>21</v>
      </c>
      <c r="AW5" s="24" t="s">
        <v>22</v>
      </c>
      <c r="AX5" s="30" t="s">
        <v>23</v>
      </c>
      <c r="AY5" s="28" t="s">
        <v>20</v>
      </c>
      <c r="AZ5" s="24" t="s">
        <v>21</v>
      </c>
      <c r="BA5" s="24" t="s">
        <v>22</v>
      </c>
      <c r="BB5" s="30" t="s">
        <v>23</v>
      </c>
      <c r="BC5" s="28" t="s">
        <v>20</v>
      </c>
      <c r="BD5" s="24" t="s">
        <v>21</v>
      </c>
      <c r="BE5" s="24" t="s">
        <v>22</v>
      </c>
      <c r="BF5" s="29" t="s">
        <v>23</v>
      </c>
      <c r="BG5" s="28" t="s">
        <v>20</v>
      </c>
      <c r="BH5" s="24" t="s">
        <v>21</v>
      </c>
      <c r="BI5" s="24" t="s">
        <v>22</v>
      </c>
      <c r="BJ5" s="29" t="s">
        <v>23</v>
      </c>
      <c r="BK5" s="28" t="s">
        <v>20</v>
      </c>
      <c r="BL5" s="24" t="s">
        <v>21</v>
      </c>
      <c r="BM5" s="24" t="s">
        <v>22</v>
      </c>
      <c r="BN5" s="29" t="s">
        <v>23</v>
      </c>
      <c r="BO5" s="28" t="s">
        <v>20</v>
      </c>
      <c r="BP5" s="24" t="s">
        <v>21</v>
      </c>
      <c r="BQ5" s="24" t="s">
        <v>22</v>
      </c>
      <c r="BR5" s="30" t="s">
        <v>23</v>
      </c>
      <c r="BS5" s="28" t="s">
        <v>20</v>
      </c>
      <c r="BT5" s="24" t="s">
        <v>21</v>
      </c>
      <c r="BU5" s="24" t="s">
        <v>22</v>
      </c>
      <c r="BV5" s="29" t="s">
        <v>23</v>
      </c>
    </row>
    <row r="6" spans="2:74" s="12" customFormat="1" ht="18" customHeight="1" thickBot="1">
      <c r="B6" s="12" t="e">
        <f>CONCATENATE(E6,O6)</f>
        <v>#REF!</v>
      </c>
      <c r="C6" s="10" t="e">
        <f t="shared" ref="C6:C38" si="0">CONCATENATE(E6,R6)</f>
        <v>#REF!</v>
      </c>
      <c r="D6" s="12" t="e">
        <f t="shared" ref="D6:D7" si="1">CONCATENATE(E6,R6)</f>
        <v>#REF!</v>
      </c>
      <c r="E6" s="38" t="e">
        <f>IF(G6=0,#REF!,G6)</f>
        <v>#REF!</v>
      </c>
      <c r="F6" s="39" t="e">
        <f>IF(#REF!=0,#REF!,#REF!)</f>
        <v>#REF!</v>
      </c>
      <c r="G6" s="33"/>
      <c r="H6" s="190" t="s">
        <v>24</v>
      </c>
      <c r="I6" s="34" t="s">
        <v>25</v>
      </c>
      <c r="K6" s="38" t="s">
        <v>26</v>
      </c>
      <c r="L6" s="41">
        <v>43370</v>
      </c>
      <c r="M6" s="41">
        <v>2776.41</v>
      </c>
      <c r="N6" s="42">
        <v>120412944</v>
      </c>
      <c r="O6" s="38" t="s">
        <v>27</v>
      </c>
      <c r="P6" s="48">
        <f t="shared" ref="P6:P16" si="2">+O6*1</f>
        <v>3402104</v>
      </c>
      <c r="Q6" s="44">
        <f>VLOOKUP(P6,[1]A!D:G,3,FALSE)</f>
        <v>0</v>
      </c>
      <c r="R6" s="45" t="s">
        <v>28</v>
      </c>
      <c r="S6" s="99">
        <v>0</v>
      </c>
      <c r="T6" s="100">
        <v>0</v>
      </c>
      <c r="U6" s="100">
        <v>0</v>
      </c>
      <c r="V6" s="101">
        <v>0</v>
      </c>
      <c r="W6" s="99">
        <v>0</v>
      </c>
      <c r="X6" s="100">
        <v>0</v>
      </c>
      <c r="Y6" s="100">
        <v>0</v>
      </c>
      <c r="Z6" s="101">
        <v>0</v>
      </c>
      <c r="AA6" s="99">
        <v>0</v>
      </c>
      <c r="AB6" s="100">
        <v>0</v>
      </c>
      <c r="AC6" s="100">
        <v>0</v>
      </c>
      <c r="AD6" s="101">
        <v>0</v>
      </c>
      <c r="AE6" s="99">
        <v>0</v>
      </c>
      <c r="AF6" s="100">
        <v>0</v>
      </c>
      <c r="AG6" s="100">
        <v>0</v>
      </c>
      <c r="AH6" s="102">
        <v>0</v>
      </c>
      <c r="AI6" s="99">
        <v>0</v>
      </c>
      <c r="AJ6" s="100">
        <v>0</v>
      </c>
      <c r="AK6" s="100">
        <v>0</v>
      </c>
      <c r="AL6" s="102">
        <v>0</v>
      </c>
      <c r="AM6" s="99">
        <v>0</v>
      </c>
      <c r="AN6" s="100">
        <v>0</v>
      </c>
      <c r="AO6" s="100">
        <v>0</v>
      </c>
      <c r="AP6" s="102">
        <v>0</v>
      </c>
      <c r="AQ6" s="99">
        <v>0</v>
      </c>
      <c r="AR6" s="100">
        <v>0</v>
      </c>
      <c r="AS6" s="100">
        <v>0</v>
      </c>
      <c r="AT6" s="102">
        <v>0</v>
      </c>
      <c r="AU6" s="99">
        <v>0</v>
      </c>
      <c r="AV6" s="100">
        <v>0</v>
      </c>
      <c r="AW6" s="100">
        <v>0</v>
      </c>
      <c r="AX6" s="102">
        <v>0</v>
      </c>
      <c r="AY6" s="99">
        <v>0</v>
      </c>
      <c r="AZ6" s="100">
        <v>0</v>
      </c>
      <c r="BA6" s="100">
        <v>0</v>
      </c>
      <c r="BB6" s="102">
        <v>0</v>
      </c>
      <c r="BC6" s="99">
        <v>0</v>
      </c>
      <c r="BD6" s="100">
        <v>0</v>
      </c>
      <c r="BE6" s="100">
        <v>0</v>
      </c>
      <c r="BF6" s="101">
        <v>0</v>
      </c>
      <c r="BG6" s="99">
        <v>0</v>
      </c>
      <c r="BH6" s="100">
        <v>0</v>
      </c>
      <c r="BI6" s="100">
        <v>0</v>
      </c>
      <c r="BJ6" s="101">
        <v>0</v>
      </c>
      <c r="BK6" s="99">
        <v>0</v>
      </c>
      <c r="BL6" s="100">
        <v>0</v>
      </c>
      <c r="BM6" s="100">
        <v>0</v>
      </c>
      <c r="BN6" s="101">
        <v>0</v>
      </c>
      <c r="BO6" s="99">
        <v>0</v>
      </c>
      <c r="BP6" s="100">
        <v>0</v>
      </c>
      <c r="BQ6" s="100">
        <v>0</v>
      </c>
      <c r="BR6" s="101">
        <v>0</v>
      </c>
      <c r="BS6" s="99">
        <v>0</v>
      </c>
      <c r="BT6" s="100">
        <v>0</v>
      </c>
      <c r="BU6" s="100">
        <v>0</v>
      </c>
      <c r="BV6" s="101">
        <v>0</v>
      </c>
    </row>
    <row r="7" spans="2:74" s="12" customFormat="1" ht="15" thickBot="1">
      <c r="B7" s="12" t="e">
        <f>CONCATENATE(E7,O7)</f>
        <v>#REF!</v>
      </c>
      <c r="C7" s="10" t="e">
        <f t="shared" si="0"/>
        <v>#REF!</v>
      </c>
      <c r="D7" s="12" t="e">
        <f t="shared" si="1"/>
        <v>#REF!</v>
      </c>
      <c r="E7" s="38" t="e">
        <f t="shared" ref="E7:E68" si="3">IF(G7=0,E6,G7)</f>
        <v>#REF!</v>
      </c>
      <c r="F7" s="39" t="e">
        <f>IF(H7=0,F6,H7)</f>
        <v>#REF!</v>
      </c>
      <c r="G7" s="33"/>
      <c r="H7" s="190"/>
      <c r="I7" s="34" t="s">
        <v>25</v>
      </c>
      <c r="K7" s="38"/>
      <c r="L7" s="41"/>
      <c r="M7" s="41"/>
      <c r="N7" s="42"/>
      <c r="O7" s="38" t="s">
        <v>29</v>
      </c>
      <c r="P7" s="48">
        <f t="shared" si="2"/>
        <v>3402105</v>
      </c>
      <c r="Q7" s="44" t="str">
        <f>VLOOKUP(P7,[1]A!D:G,3,FALSE)</f>
        <v>MPPO</v>
      </c>
      <c r="R7" s="45" t="s">
        <v>30</v>
      </c>
      <c r="S7" s="99">
        <v>0.15065600000000001</v>
      </c>
      <c r="T7" s="100">
        <v>29900</v>
      </c>
      <c r="U7" s="100">
        <v>3452.8</v>
      </c>
      <c r="V7" s="101">
        <v>103238796</v>
      </c>
      <c r="W7" s="99">
        <v>0.14824799999999999</v>
      </c>
      <c r="X7" s="100">
        <v>6800</v>
      </c>
      <c r="Y7" s="100">
        <v>3562.23</v>
      </c>
      <c r="Z7" s="101">
        <v>24223175</v>
      </c>
      <c r="AA7" s="99">
        <v>0.14849200000000001</v>
      </c>
      <c r="AB7" s="100">
        <v>33100</v>
      </c>
      <c r="AC7" s="100">
        <v>3725.6869780000002</v>
      </c>
      <c r="AD7" s="101">
        <v>123320239</v>
      </c>
      <c r="AE7" s="99">
        <v>0</v>
      </c>
      <c r="AF7" s="100">
        <v>0</v>
      </c>
      <c r="AG7" s="100">
        <v>0</v>
      </c>
      <c r="AH7" s="102">
        <v>0</v>
      </c>
      <c r="AI7" s="99">
        <v>0.151561</v>
      </c>
      <c r="AJ7" s="100">
        <v>5000</v>
      </c>
      <c r="AK7" s="100">
        <v>3664.4982</v>
      </c>
      <c r="AL7" s="102">
        <v>18322491</v>
      </c>
      <c r="AM7" s="99">
        <v>0.15659999999999999</v>
      </c>
      <c r="AN7" s="100">
        <v>11750</v>
      </c>
      <c r="AO7" s="100">
        <v>3755.8891910000002</v>
      </c>
      <c r="AP7" s="102">
        <v>44131698</v>
      </c>
      <c r="AQ7" s="99">
        <v>0.15609200000000001</v>
      </c>
      <c r="AR7" s="100">
        <v>7100</v>
      </c>
      <c r="AS7" s="100">
        <v>3969.5163379999999</v>
      </c>
      <c r="AT7" s="102">
        <v>28183566</v>
      </c>
      <c r="AU7" s="99">
        <v>0.155089</v>
      </c>
      <c r="AV7" s="100">
        <v>9500</v>
      </c>
      <c r="AW7" s="100">
        <v>4058.3440000000001</v>
      </c>
      <c r="AX7" s="102">
        <v>38554268</v>
      </c>
      <c r="AY7" s="99">
        <v>0.153695</v>
      </c>
      <c r="AZ7" s="100">
        <v>3825</v>
      </c>
      <c r="BA7" s="100">
        <v>4115.836601</v>
      </c>
      <c r="BB7" s="102">
        <v>15743075</v>
      </c>
      <c r="BC7" s="99">
        <v>0.15506700000000001</v>
      </c>
      <c r="BD7" s="100">
        <v>8150</v>
      </c>
      <c r="BE7" s="100">
        <v>4129.873251</v>
      </c>
      <c r="BF7" s="101">
        <v>33658467</v>
      </c>
      <c r="BG7" s="99">
        <v>0</v>
      </c>
      <c r="BH7" s="100">
        <v>0</v>
      </c>
      <c r="BI7" s="100">
        <v>0</v>
      </c>
      <c r="BJ7" s="101">
        <v>0</v>
      </c>
      <c r="BK7" s="99">
        <v>0.15393200000000001</v>
      </c>
      <c r="BL7" s="100">
        <v>9525</v>
      </c>
      <c r="BM7" s="100">
        <v>4220.5815220000004</v>
      </c>
      <c r="BN7" s="101">
        <v>40201039</v>
      </c>
      <c r="BO7" s="99">
        <v>0.15340799999999999</v>
      </c>
      <c r="BP7" s="100">
        <v>12400</v>
      </c>
      <c r="BQ7" s="100">
        <v>4220.5815320000002</v>
      </c>
      <c r="BR7" s="101">
        <v>52335211</v>
      </c>
      <c r="BS7" s="99">
        <v>0.15323999999999999</v>
      </c>
      <c r="BT7" s="100">
        <v>20700</v>
      </c>
      <c r="BU7" s="100">
        <v>3948.172028</v>
      </c>
      <c r="BV7" s="101">
        <v>81727161</v>
      </c>
    </row>
    <row r="8" spans="2:74" s="12" customFormat="1" ht="15" thickBot="1">
      <c r="C8" s="10" t="e">
        <f t="shared" si="0"/>
        <v>#REF!</v>
      </c>
      <c r="E8" s="38" t="e">
        <f>IF(G8=0,E7,G8)</f>
        <v>#REF!</v>
      </c>
      <c r="F8" s="39"/>
      <c r="G8" s="33"/>
      <c r="H8" s="190"/>
      <c r="I8" s="34" t="s">
        <v>25</v>
      </c>
      <c r="K8" s="38"/>
      <c r="L8" s="41"/>
      <c r="M8" s="41"/>
      <c r="N8" s="42"/>
      <c r="O8" s="38"/>
      <c r="P8" s="48"/>
      <c r="Q8" s="49">
        <f>VLOOKUP(P8,[1]A!D:G,3,FALSE)</f>
        <v>0</v>
      </c>
      <c r="R8" s="50" t="str">
        <f>+Q7</f>
        <v>MPPO</v>
      </c>
      <c r="S8" s="107">
        <v>0.15065600000000001</v>
      </c>
      <c r="T8" s="108">
        <v>29900</v>
      </c>
      <c r="U8" s="155">
        <v>3452.8025418060201</v>
      </c>
      <c r="V8" s="122">
        <v>103238796</v>
      </c>
      <c r="W8" s="107">
        <v>0.14824799999999999</v>
      </c>
      <c r="X8" s="108">
        <v>6800</v>
      </c>
      <c r="Y8" s="155">
        <v>3562.231617647059</v>
      </c>
      <c r="Z8" s="122">
        <v>24223175</v>
      </c>
      <c r="AA8" s="107">
        <v>0.14849200000000001</v>
      </c>
      <c r="AB8" s="108">
        <v>33100</v>
      </c>
      <c r="AC8" s="155">
        <v>3725.6869788519639</v>
      </c>
      <c r="AD8" s="122">
        <v>123320239</v>
      </c>
      <c r="AE8" s="107">
        <v>0</v>
      </c>
      <c r="AF8" s="108">
        <v>0</v>
      </c>
      <c r="AG8" s="155">
        <v>0</v>
      </c>
      <c r="AH8" s="109">
        <v>0</v>
      </c>
      <c r="AI8" s="107">
        <v>0.151561</v>
      </c>
      <c r="AJ8" s="108">
        <v>5000</v>
      </c>
      <c r="AK8" s="155">
        <v>3664.4982</v>
      </c>
      <c r="AL8" s="109">
        <v>18322491</v>
      </c>
      <c r="AM8" s="107">
        <v>0.15659999999999999</v>
      </c>
      <c r="AN8" s="108">
        <v>11750</v>
      </c>
      <c r="AO8" s="155">
        <v>3755.8891914893616</v>
      </c>
      <c r="AP8" s="109">
        <v>44131698</v>
      </c>
      <c r="AQ8" s="107">
        <v>0.15609200000000001</v>
      </c>
      <c r="AR8" s="108">
        <v>7100</v>
      </c>
      <c r="AS8" s="155">
        <v>3969.5163380281692</v>
      </c>
      <c r="AT8" s="109">
        <v>28183566</v>
      </c>
      <c r="AU8" s="107">
        <v>0.155089</v>
      </c>
      <c r="AV8" s="108">
        <v>9500</v>
      </c>
      <c r="AW8" s="155">
        <v>4058.3440000000001</v>
      </c>
      <c r="AX8" s="109">
        <v>38554268</v>
      </c>
      <c r="AY8" s="107">
        <v>0.153695</v>
      </c>
      <c r="AZ8" s="108">
        <v>3825</v>
      </c>
      <c r="BA8" s="155">
        <v>4115.83660130719</v>
      </c>
      <c r="BB8" s="109">
        <v>15743075</v>
      </c>
      <c r="BC8" s="107">
        <v>0.15506700000000001</v>
      </c>
      <c r="BD8" s="108">
        <v>8150</v>
      </c>
      <c r="BE8" s="155">
        <v>4129.8732515337424</v>
      </c>
      <c r="BF8" s="122">
        <v>33658467</v>
      </c>
      <c r="BG8" s="107">
        <v>0</v>
      </c>
      <c r="BH8" s="108">
        <v>0</v>
      </c>
      <c r="BI8" s="155">
        <v>0</v>
      </c>
      <c r="BJ8" s="122">
        <v>0</v>
      </c>
      <c r="BK8" s="107">
        <v>0.15393200000000001</v>
      </c>
      <c r="BL8" s="108">
        <v>9525</v>
      </c>
      <c r="BM8" s="155">
        <v>4220.5815223097115</v>
      </c>
      <c r="BN8" s="122">
        <v>40201039</v>
      </c>
      <c r="BO8" s="107">
        <v>0.15340799999999999</v>
      </c>
      <c r="BP8" s="108">
        <v>12400</v>
      </c>
      <c r="BQ8" s="155">
        <v>4220.5815322580647</v>
      </c>
      <c r="BR8" s="122">
        <v>52335211</v>
      </c>
      <c r="BS8" s="107">
        <v>0.15323999999999999</v>
      </c>
      <c r="BT8" s="108">
        <v>20700</v>
      </c>
      <c r="BU8" s="155">
        <v>3948.172028985507</v>
      </c>
      <c r="BV8" s="122">
        <v>81727161</v>
      </c>
    </row>
    <row r="9" spans="2:74" s="12" customFormat="1" ht="18" customHeight="1" thickBot="1">
      <c r="B9" s="138" t="e">
        <f t="shared" ref="B9:B16" si="4">CONCATENATE(E9,O9)</f>
        <v>#REF!</v>
      </c>
      <c r="C9" s="52" t="e">
        <f t="shared" si="0"/>
        <v>#REF!</v>
      </c>
      <c r="D9" s="138" t="e">
        <f t="shared" ref="D9:D16" si="5">CONCATENATE(E9,R9)</f>
        <v>#REF!</v>
      </c>
      <c r="E9" s="53" t="e">
        <f>IF(G9=0,E7,G9)</f>
        <v>#REF!</v>
      </c>
      <c r="F9" s="54" t="e">
        <f>IF(H9=0,F6,H9)</f>
        <v>#REF!</v>
      </c>
      <c r="G9" s="55"/>
      <c r="H9" s="190"/>
      <c r="I9" s="34" t="s">
        <v>25</v>
      </c>
      <c r="J9" s="138"/>
      <c r="K9" s="53"/>
      <c r="L9" s="46"/>
      <c r="M9" s="46"/>
      <c r="N9" s="56"/>
      <c r="O9" s="53" t="s">
        <v>31</v>
      </c>
      <c r="P9" s="43">
        <f t="shared" si="2"/>
        <v>3403301</v>
      </c>
      <c r="Q9" s="44" t="e">
        <f>VLOOKUP(P9,[1]A!D:G,3,FALSE)</f>
        <v>#N/A</v>
      </c>
      <c r="R9" s="45" t="s">
        <v>32</v>
      </c>
      <c r="S9" s="99">
        <v>0</v>
      </c>
      <c r="T9" s="100">
        <v>0</v>
      </c>
      <c r="U9" s="100">
        <v>0</v>
      </c>
      <c r="V9" s="101">
        <v>0</v>
      </c>
      <c r="W9" s="99">
        <v>0</v>
      </c>
      <c r="X9" s="100">
        <v>0</v>
      </c>
      <c r="Y9" s="100">
        <v>0</v>
      </c>
      <c r="Z9" s="101">
        <v>0</v>
      </c>
      <c r="AA9" s="99">
        <v>0</v>
      </c>
      <c r="AB9" s="100">
        <v>0</v>
      </c>
      <c r="AC9" s="100">
        <v>0</v>
      </c>
      <c r="AD9" s="101">
        <v>0</v>
      </c>
      <c r="AE9" s="99">
        <v>0</v>
      </c>
      <c r="AF9" s="100">
        <v>0</v>
      </c>
      <c r="AG9" s="100">
        <v>0</v>
      </c>
      <c r="AH9" s="102">
        <v>0</v>
      </c>
      <c r="AI9" s="99">
        <v>0</v>
      </c>
      <c r="AJ9" s="100">
        <v>0</v>
      </c>
      <c r="AK9" s="100">
        <v>0</v>
      </c>
      <c r="AL9" s="102">
        <v>0</v>
      </c>
      <c r="AM9" s="99">
        <v>0</v>
      </c>
      <c r="AN9" s="100">
        <v>0</v>
      </c>
      <c r="AO9" s="100">
        <v>0</v>
      </c>
      <c r="AP9" s="102">
        <v>0</v>
      </c>
      <c r="AQ9" s="99">
        <v>0</v>
      </c>
      <c r="AR9" s="100">
        <v>0</v>
      </c>
      <c r="AS9" s="100">
        <v>0</v>
      </c>
      <c r="AT9" s="102">
        <v>0</v>
      </c>
      <c r="AU9" s="99">
        <v>0</v>
      </c>
      <c r="AV9" s="100">
        <v>0</v>
      </c>
      <c r="AW9" s="100">
        <v>0</v>
      </c>
      <c r="AX9" s="102">
        <v>0</v>
      </c>
      <c r="AY9" s="99">
        <v>0</v>
      </c>
      <c r="AZ9" s="100">
        <v>0</v>
      </c>
      <c r="BA9" s="100">
        <v>0</v>
      </c>
      <c r="BB9" s="102">
        <v>0</v>
      </c>
      <c r="BC9" s="99">
        <v>0</v>
      </c>
      <c r="BD9" s="100">
        <v>0</v>
      </c>
      <c r="BE9" s="100">
        <v>0</v>
      </c>
      <c r="BF9" s="101">
        <v>0</v>
      </c>
      <c r="BG9" s="99">
        <v>0</v>
      </c>
      <c r="BH9" s="100">
        <v>0</v>
      </c>
      <c r="BI9" s="100">
        <v>0</v>
      </c>
      <c r="BJ9" s="101">
        <v>0</v>
      </c>
      <c r="BK9" s="99">
        <v>0</v>
      </c>
      <c r="BL9" s="100">
        <v>0</v>
      </c>
      <c r="BM9" s="100">
        <v>0</v>
      </c>
      <c r="BN9" s="101">
        <v>0</v>
      </c>
      <c r="BO9" s="99">
        <v>0</v>
      </c>
      <c r="BP9" s="100">
        <v>0</v>
      </c>
      <c r="BQ9" s="100">
        <v>0</v>
      </c>
      <c r="BR9" s="101">
        <v>0</v>
      </c>
      <c r="BS9" s="99">
        <v>0</v>
      </c>
      <c r="BT9" s="100">
        <v>0</v>
      </c>
      <c r="BU9" s="100">
        <v>0</v>
      </c>
      <c r="BV9" s="101">
        <v>0</v>
      </c>
    </row>
    <row r="10" spans="2:74" s="12" customFormat="1" ht="15" thickBot="1">
      <c r="B10" s="12" t="e">
        <f t="shared" si="4"/>
        <v>#REF!</v>
      </c>
      <c r="C10" s="10" t="e">
        <f t="shared" si="0"/>
        <v>#REF!</v>
      </c>
      <c r="D10" s="12" t="e">
        <f t="shared" si="5"/>
        <v>#REF!</v>
      </c>
      <c r="E10" s="38" t="e">
        <f t="shared" si="3"/>
        <v>#REF!</v>
      </c>
      <c r="F10" s="39" t="e">
        <f>IF(H10=0,F9,H10)</f>
        <v>#REF!</v>
      </c>
      <c r="G10" s="33"/>
      <c r="H10" s="190"/>
      <c r="I10" s="34" t="s">
        <v>25</v>
      </c>
      <c r="K10" s="38"/>
      <c r="L10" s="41"/>
      <c r="M10" s="41"/>
      <c r="N10" s="42"/>
      <c r="O10" s="38" t="s">
        <v>33</v>
      </c>
      <c r="P10" s="48">
        <f t="shared" si="2"/>
        <v>3403303</v>
      </c>
      <c r="Q10" s="44" t="str">
        <f>VLOOKUP(P10,[1]A!D:G,3,FALSE)</f>
        <v>R재</v>
      </c>
      <c r="R10" s="45" t="s">
        <v>34</v>
      </c>
      <c r="S10" s="99">
        <v>0.33897699999999997</v>
      </c>
      <c r="T10" s="100">
        <v>67275</v>
      </c>
      <c r="U10" s="100">
        <v>1853.24</v>
      </c>
      <c r="V10" s="101">
        <v>124676681</v>
      </c>
      <c r="W10" s="99">
        <v>0.39983400000000002</v>
      </c>
      <c r="X10" s="100">
        <v>18340</v>
      </c>
      <c r="Y10" s="100">
        <v>1945.73</v>
      </c>
      <c r="Z10" s="101">
        <v>35684754</v>
      </c>
      <c r="AA10" s="99">
        <v>0.40891</v>
      </c>
      <c r="AB10" s="100">
        <v>91149</v>
      </c>
      <c r="AC10" s="100">
        <v>1971.102228</v>
      </c>
      <c r="AD10" s="101">
        <v>179663997</v>
      </c>
      <c r="AE10" s="99">
        <v>0</v>
      </c>
      <c r="AF10" s="100">
        <v>0</v>
      </c>
      <c r="AG10" s="100">
        <v>0</v>
      </c>
      <c r="AH10" s="102">
        <v>0</v>
      </c>
      <c r="AI10" s="99">
        <v>0.49105799999999999</v>
      </c>
      <c r="AJ10" s="100">
        <v>16200</v>
      </c>
      <c r="AK10" s="100">
        <v>2036.6069749999999</v>
      </c>
      <c r="AL10" s="102">
        <v>32993033</v>
      </c>
      <c r="AM10" s="99">
        <v>0.50511799999999996</v>
      </c>
      <c r="AN10" s="100">
        <v>37900</v>
      </c>
      <c r="AO10" s="100">
        <v>2067.155092</v>
      </c>
      <c r="AP10" s="102">
        <v>78345178</v>
      </c>
      <c r="AQ10" s="99">
        <v>0.50729900000000006</v>
      </c>
      <c r="AR10" s="100">
        <v>23075</v>
      </c>
      <c r="AS10" s="100">
        <v>2074.1618199999998</v>
      </c>
      <c r="AT10" s="102">
        <v>47861284</v>
      </c>
      <c r="AU10" s="99">
        <v>0.50404000000000004</v>
      </c>
      <c r="AV10" s="100">
        <v>30875</v>
      </c>
      <c r="AW10" s="100">
        <v>2079.5405660000001</v>
      </c>
      <c r="AX10" s="102">
        <v>64205815</v>
      </c>
      <c r="AY10" s="99">
        <v>0.49825199999999997</v>
      </c>
      <c r="AZ10" s="100">
        <v>12400</v>
      </c>
      <c r="BA10" s="100">
        <v>2104.1223380000001</v>
      </c>
      <c r="BB10" s="102">
        <v>26091117</v>
      </c>
      <c r="BC10" s="99">
        <v>0.50325399999999998</v>
      </c>
      <c r="BD10" s="100">
        <v>26450</v>
      </c>
      <c r="BE10" s="100">
        <v>2118.7191680000001</v>
      </c>
      <c r="BF10" s="101">
        <v>56040122</v>
      </c>
      <c r="BG10" s="99">
        <v>0</v>
      </c>
      <c r="BH10" s="100">
        <v>0</v>
      </c>
      <c r="BI10" s="100">
        <v>0</v>
      </c>
      <c r="BJ10" s="101">
        <v>0</v>
      </c>
      <c r="BK10" s="99">
        <v>0.49936999999999998</v>
      </c>
      <c r="BL10" s="100">
        <v>30900</v>
      </c>
      <c r="BM10" s="100">
        <v>1931.0718440000001</v>
      </c>
      <c r="BN10" s="101">
        <v>59670120</v>
      </c>
      <c r="BO10" s="99">
        <v>0.49795899999999998</v>
      </c>
      <c r="BP10" s="100">
        <v>40250</v>
      </c>
      <c r="BQ10" s="100">
        <v>1887.6867569999999</v>
      </c>
      <c r="BR10" s="101">
        <v>75979392</v>
      </c>
      <c r="BS10" s="99">
        <v>0.49840099999999998</v>
      </c>
      <c r="BT10" s="100">
        <v>67325</v>
      </c>
      <c r="BU10" s="100">
        <v>1870.010323</v>
      </c>
      <c r="BV10" s="101">
        <v>125898445</v>
      </c>
    </row>
    <row r="11" spans="2:74" s="12" customFormat="1" ht="18" customHeight="1" thickBot="1">
      <c r="B11" s="12" t="e">
        <f t="shared" si="4"/>
        <v>#REF!</v>
      </c>
      <c r="C11" s="10" t="e">
        <f t="shared" si="0"/>
        <v>#REF!</v>
      </c>
      <c r="D11" s="12" t="e">
        <f t="shared" si="5"/>
        <v>#REF!</v>
      </c>
      <c r="E11" s="38" t="e">
        <f t="shared" si="3"/>
        <v>#REF!</v>
      </c>
      <c r="F11" s="39" t="e">
        <f>IF(H11=0,F10,H11)</f>
        <v>#REF!</v>
      </c>
      <c r="G11" s="33"/>
      <c r="H11" s="190"/>
      <c r="I11" s="34" t="s">
        <v>25</v>
      </c>
      <c r="K11" s="38"/>
      <c r="L11" s="41"/>
      <c r="M11" s="41"/>
      <c r="N11" s="42"/>
      <c r="O11" s="38" t="s">
        <v>35</v>
      </c>
      <c r="P11" s="48">
        <f t="shared" si="2"/>
        <v>3403305</v>
      </c>
      <c r="Q11" s="44" t="str">
        <f>VLOOKUP(P11,[1]A!D:G,3,FALSE)</f>
        <v>R재</v>
      </c>
      <c r="R11" s="45" t="s">
        <v>36</v>
      </c>
      <c r="S11" s="99">
        <v>0.129998</v>
      </c>
      <c r="T11" s="100">
        <v>25800</v>
      </c>
      <c r="U11" s="100">
        <v>1946.62</v>
      </c>
      <c r="V11" s="101">
        <v>50222921</v>
      </c>
      <c r="W11" s="99">
        <v>0</v>
      </c>
      <c r="X11" s="100">
        <v>0</v>
      </c>
      <c r="Y11" s="100">
        <v>0</v>
      </c>
      <c r="Z11" s="101">
        <v>0</v>
      </c>
      <c r="AA11" s="99">
        <v>0</v>
      </c>
      <c r="AB11" s="100">
        <v>0</v>
      </c>
      <c r="AC11" s="100">
        <v>0</v>
      </c>
      <c r="AD11" s="101">
        <v>0</v>
      </c>
      <c r="AE11" s="99">
        <v>0</v>
      </c>
      <c r="AF11" s="100">
        <v>0</v>
      </c>
      <c r="AG11" s="100">
        <v>0</v>
      </c>
      <c r="AH11" s="102">
        <v>0</v>
      </c>
      <c r="AI11" s="99">
        <v>0</v>
      </c>
      <c r="AJ11" s="100">
        <v>0</v>
      </c>
      <c r="AK11" s="100">
        <v>0</v>
      </c>
      <c r="AL11" s="102">
        <v>0</v>
      </c>
      <c r="AM11" s="99">
        <v>0</v>
      </c>
      <c r="AN11" s="100">
        <v>0</v>
      </c>
      <c r="AO11" s="100">
        <v>0</v>
      </c>
      <c r="AP11" s="102">
        <v>0</v>
      </c>
      <c r="AQ11" s="99">
        <v>0</v>
      </c>
      <c r="AR11" s="100">
        <v>0</v>
      </c>
      <c r="AS11" s="100">
        <v>0</v>
      </c>
      <c r="AT11" s="102">
        <v>0</v>
      </c>
      <c r="AU11" s="99">
        <v>0</v>
      </c>
      <c r="AV11" s="100">
        <v>0</v>
      </c>
      <c r="AW11" s="100">
        <v>0</v>
      </c>
      <c r="AX11" s="102">
        <v>0</v>
      </c>
      <c r="AY11" s="99">
        <v>0</v>
      </c>
      <c r="AZ11" s="100">
        <v>0</v>
      </c>
      <c r="BA11" s="100">
        <v>0</v>
      </c>
      <c r="BB11" s="102">
        <v>0</v>
      </c>
      <c r="BC11" s="99">
        <v>0</v>
      </c>
      <c r="BD11" s="100">
        <v>0</v>
      </c>
      <c r="BE11" s="100">
        <v>0</v>
      </c>
      <c r="BF11" s="101">
        <v>0</v>
      </c>
      <c r="BG11" s="99">
        <v>0</v>
      </c>
      <c r="BH11" s="100">
        <v>0</v>
      </c>
      <c r="BI11" s="100">
        <v>0</v>
      </c>
      <c r="BJ11" s="101">
        <v>0</v>
      </c>
      <c r="BK11" s="99">
        <v>0</v>
      </c>
      <c r="BL11" s="100">
        <v>0</v>
      </c>
      <c r="BM11" s="100">
        <v>0</v>
      </c>
      <c r="BN11" s="101">
        <v>0</v>
      </c>
      <c r="BO11" s="99">
        <v>0</v>
      </c>
      <c r="BP11" s="100">
        <v>0</v>
      </c>
      <c r="BQ11" s="100">
        <v>0</v>
      </c>
      <c r="BR11" s="101">
        <v>0</v>
      </c>
      <c r="BS11" s="99">
        <v>0</v>
      </c>
      <c r="BT11" s="100">
        <v>0</v>
      </c>
      <c r="BU11" s="100">
        <v>0</v>
      </c>
      <c r="BV11" s="101">
        <v>0</v>
      </c>
    </row>
    <row r="12" spans="2:74" s="12" customFormat="1" ht="18" customHeight="1" thickBot="1">
      <c r="B12" s="12" t="e">
        <f t="shared" si="4"/>
        <v>#REF!</v>
      </c>
      <c r="C12" s="10" t="e">
        <f t="shared" si="0"/>
        <v>#REF!</v>
      </c>
      <c r="D12" s="12" t="e">
        <f t="shared" si="5"/>
        <v>#REF!</v>
      </c>
      <c r="E12" s="38" t="e">
        <f t="shared" si="3"/>
        <v>#REF!</v>
      </c>
      <c r="F12" s="39" t="e">
        <f>IF(H12=0,F11,H12)</f>
        <v>#REF!</v>
      </c>
      <c r="G12" s="33"/>
      <c r="H12" s="190"/>
      <c r="I12" s="34" t="s">
        <v>25</v>
      </c>
      <c r="K12" s="38"/>
      <c r="L12" s="41"/>
      <c r="M12" s="41"/>
      <c r="N12" s="42"/>
      <c r="O12" s="38" t="s">
        <v>37</v>
      </c>
      <c r="P12" s="48">
        <f t="shared" si="2"/>
        <v>3403309</v>
      </c>
      <c r="Q12" s="44" t="str">
        <f>VLOOKUP(P12,[1]A!D:G,3,FALSE)</f>
        <v>R재</v>
      </c>
      <c r="R12" s="45" t="s">
        <v>38</v>
      </c>
      <c r="S12" s="99">
        <v>0</v>
      </c>
      <c r="T12" s="100">
        <v>0</v>
      </c>
      <c r="U12" s="100">
        <v>0</v>
      </c>
      <c r="V12" s="101">
        <v>0</v>
      </c>
      <c r="W12" s="99">
        <v>1.3081000000000001E-2</v>
      </c>
      <c r="X12" s="100">
        <v>600</v>
      </c>
      <c r="Y12" s="100">
        <v>1860.34</v>
      </c>
      <c r="Z12" s="101">
        <v>1116204</v>
      </c>
      <c r="AA12" s="99">
        <v>0</v>
      </c>
      <c r="AB12" s="100">
        <v>0</v>
      </c>
      <c r="AC12" s="100">
        <v>0</v>
      </c>
      <c r="AD12" s="101">
        <v>0</v>
      </c>
      <c r="AE12" s="99">
        <v>0</v>
      </c>
      <c r="AF12" s="100">
        <v>0</v>
      </c>
      <c r="AG12" s="100">
        <v>0</v>
      </c>
      <c r="AH12" s="102">
        <v>0</v>
      </c>
      <c r="AI12" s="99">
        <v>0</v>
      </c>
      <c r="AJ12" s="100">
        <v>0</v>
      </c>
      <c r="AK12" s="100">
        <v>0</v>
      </c>
      <c r="AL12" s="102">
        <v>0</v>
      </c>
      <c r="AM12" s="99">
        <v>0</v>
      </c>
      <c r="AN12" s="100">
        <v>0</v>
      </c>
      <c r="AO12" s="100">
        <v>0</v>
      </c>
      <c r="AP12" s="102">
        <v>0</v>
      </c>
      <c r="AQ12" s="99">
        <v>0</v>
      </c>
      <c r="AR12" s="100">
        <v>0</v>
      </c>
      <c r="AS12" s="100">
        <v>0</v>
      </c>
      <c r="AT12" s="102">
        <v>0</v>
      </c>
      <c r="AU12" s="99">
        <v>0</v>
      </c>
      <c r="AV12" s="100">
        <v>0</v>
      </c>
      <c r="AW12" s="100">
        <v>0</v>
      </c>
      <c r="AX12" s="102">
        <v>0</v>
      </c>
      <c r="AY12" s="99">
        <v>0</v>
      </c>
      <c r="AZ12" s="100">
        <v>0</v>
      </c>
      <c r="BA12" s="100">
        <v>0</v>
      </c>
      <c r="BB12" s="102">
        <v>0</v>
      </c>
      <c r="BC12" s="99">
        <v>0</v>
      </c>
      <c r="BD12" s="100">
        <v>0</v>
      </c>
      <c r="BE12" s="100">
        <v>0</v>
      </c>
      <c r="BF12" s="101">
        <v>0</v>
      </c>
      <c r="BG12" s="99">
        <v>0</v>
      </c>
      <c r="BH12" s="100">
        <v>0</v>
      </c>
      <c r="BI12" s="100">
        <v>0</v>
      </c>
      <c r="BJ12" s="101">
        <v>0</v>
      </c>
      <c r="BK12" s="99">
        <v>0</v>
      </c>
      <c r="BL12" s="100">
        <v>0</v>
      </c>
      <c r="BM12" s="100">
        <v>0</v>
      </c>
      <c r="BN12" s="101">
        <v>0</v>
      </c>
      <c r="BO12" s="99">
        <v>0</v>
      </c>
      <c r="BP12" s="100">
        <v>0</v>
      </c>
      <c r="BQ12" s="100">
        <v>0</v>
      </c>
      <c r="BR12" s="101">
        <v>0</v>
      </c>
      <c r="BS12" s="99">
        <v>0</v>
      </c>
      <c r="BT12" s="100">
        <v>0</v>
      </c>
      <c r="BU12" s="100">
        <v>0</v>
      </c>
      <c r="BV12" s="101">
        <v>0</v>
      </c>
    </row>
    <row r="13" spans="2:74" s="12" customFormat="1" ht="15" thickBot="1">
      <c r="B13" s="12" t="e">
        <f t="shared" si="4"/>
        <v>#REF!</v>
      </c>
      <c r="C13" s="10" t="e">
        <f t="shared" si="0"/>
        <v>#REF!</v>
      </c>
      <c r="D13" s="12" t="e">
        <f t="shared" si="5"/>
        <v>#REF!</v>
      </c>
      <c r="E13" s="38" t="e">
        <f t="shared" si="3"/>
        <v>#REF!</v>
      </c>
      <c r="F13" s="39" t="e">
        <f>IF(H13=0,F12,H13)</f>
        <v>#REF!</v>
      </c>
      <c r="G13" s="33"/>
      <c r="H13" s="190"/>
      <c r="I13" s="34" t="s">
        <v>25</v>
      </c>
      <c r="K13" s="38"/>
      <c r="L13" s="41"/>
      <c r="M13" s="41"/>
      <c r="N13" s="42"/>
      <c r="O13" s="38" t="s">
        <v>39</v>
      </c>
      <c r="P13" s="48">
        <f t="shared" si="2"/>
        <v>3403311</v>
      </c>
      <c r="Q13" s="44" t="str">
        <f>VLOOKUP(P13,[1]A!D:G,3,FALSE)</f>
        <v>R재</v>
      </c>
      <c r="R13" s="45" t="s">
        <v>40</v>
      </c>
      <c r="S13" s="99">
        <v>0</v>
      </c>
      <c r="T13" s="100">
        <v>0</v>
      </c>
      <c r="U13" s="100">
        <v>0</v>
      </c>
      <c r="V13" s="101">
        <v>0</v>
      </c>
      <c r="W13" s="99">
        <v>0</v>
      </c>
      <c r="X13" s="100">
        <v>0</v>
      </c>
      <c r="Y13" s="100">
        <v>0</v>
      </c>
      <c r="Z13" s="101">
        <v>0</v>
      </c>
      <c r="AA13" s="99">
        <v>0</v>
      </c>
      <c r="AB13" s="100">
        <v>0</v>
      </c>
      <c r="AC13" s="100">
        <v>0</v>
      </c>
      <c r="AD13" s="101">
        <v>0</v>
      </c>
      <c r="AE13" s="99">
        <v>0</v>
      </c>
      <c r="AF13" s="100">
        <v>0</v>
      </c>
      <c r="AG13" s="100">
        <v>0</v>
      </c>
      <c r="AH13" s="102">
        <v>0</v>
      </c>
      <c r="AI13" s="99">
        <v>0</v>
      </c>
      <c r="AJ13" s="100">
        <v>0</v>
      </c>
      <c r="AK13" s="100">
        <v>0</v>
      </c>
      <c r="AL13" s="102">
        <v>0</v>
      </c>
      <c r="AM13" s="99">
        <v>0</v>
      </c>
      <c r="AN13" s="100">
        <v>0</v>
      </c>
      <c r="AO13" s="100">
        <v>0</v>
      </c>
      <c r="AP13" s="102">
        <v>0</v>
      </c>
      <c r="AQ13" s="99">
        <v>0</v>
      </c>
      <c r="AR13" s="100">
        <v>0</v>
      </c>
      <c r="AS13" s="100">
        <v>0</v>
      </c>
      <c r="AT13" s="102">
        <v>0</v>
      </c>
      <c r="AU13" s="99">
        <v>0</v>
      </c>
      <c r="AV13" s="100">
        <v>0</v>
      </c>
      <c r="AW13" s="100">
        <v>0</v>
      </c>
      <c r="AX13" s="102">
        <v>0</v>
      </c>
      <c r="AY13" s="99">
        <v>0</v>
      </c>
      <c r="AZ13" s="100">
        <v>0</v>
      </c>
      <c r="BA13" s="100">
        <v>0</v>
      </c>
      <c r="BB13" s="102">
        <v>0</v>
      </c>
      <c r="BC13" s="99">
        <v>0</v>
      </c>
      <c r="BD13" s="100">
        <v>0</v>
      </c>
      <c r="BE13" s="100">
        <v>0</v>
      </c>
      <c r="BF13" s="101">
        <v>0</v>
      </c>
      <c r="BG13" s="99">
        <v>0</v>
      </c>
      <c r="BH13" s="100">
        <v>0</v>
      </c>
      <c r="BI13" s="100">
        <v>0</v>
      </c>
      <c r="BJ13" s="101">
        <v>0</v>
      </c>
      <c r="BK13" s="99">
        <v>0</v>
      </c>
      <c r="BL13" s="100">
        <v>0</v>
      </c>
      <c r="BM13" s="100">
        <v>0</v>
      </c>
      <c r="BN13" s="101">
        <v>0</v>
      </c>
      <c r="BO13" s="99">
        <v>0</v>
      </c>
      <c r="BP13" s="100">
        <v>0</v>
      </c>
      <c r="BQ13" s="100">
        <v>0</v>
      </c>
      <c r="BR13" s="101">
        <v>0</v>
      </c>
      <c r="BS13" s="99">
        <v>0</v>
      </c>
      <c r="BT13" s="100">
        <v>0</v>
      </c>
      <c r="BU13" s="100">
        <v>0</v>
      </c>
      <c r="BV13" s="101">
        <v>0</v>
      </c>
    </row>
    <row r="14" spans="2:74" s="12" customFormat="1" ht="15" thickBot="1">
      <c r="B14" s="12" t="e">
        <f t="shared" si="4"/>
        <v>#REF!</v>
      </c>
      <c r="C14" s="10" t="e">
        <f t="shared" si="0"/>
        <v>#REF!</v>
      </c>
      <c r="D14" s="12" t="e">
        <f t="shared" si="5"/>
        <v>#REF!</v>
      </c>
      <c r="E14" s="38" t="e">
        <f>IF(G14=0,E13,G14)</f>
        <v>#REF!</v>
      </c>
      <c r="F14" s="39" t="e">
        <f>IF(H14=0,F13,H14)</f>
        <v>#REF!</v>
      </c>
      <c r="G14" s="33"/>
      <c r="H14" s="190"/>
      <c r="I14" s="34" t="s">
        <v>25</v>
      </c>
      <c r="K14" s="38"/>
      <c r="L14" s="41"/>
      <c r="M14" s="41"/>
      <c r="N14" s="42"/>
      <c r="O14" s="38" t="s">
        <v>41</v>
      </c>
      <c r="P14" s="48">
        <f>+O14*1</f>
        <v>3403323</v>
      </c>
      <c r="Q14" s="44" t="str">
        <f>VLOOKUP(P14,[1]A!D:G,3,FALSE)</f>
        <v>R재</v>
      </c>
      <c r="R14" s="45" t="s">
        <v>42</v>
      </c>
      <c r="S14" s="99"/>
      <c r="T14" s="100"/>
      <c r="U14" s="100"/>
      <c r="V14" s="101"/>
      <c r="W14" s="99">
        <v>0.112276</v>
      </c>
      <c r="X14" s="100">
        <v>5150</v>
      </c>
      <c r="Y14" s="100">
        <v>1460</v>
      </c>
      <c r="Z14" s="101">
        <v>7519000</v>
      </c>
      <c r="AA14" s="99">
        <v>0.111369</v>
      </c>
      <c r="AB14" s="100">
        <v>24825</v>
      </c>
      <c r="AC14" s="100">
        <v>1460</v>
      </c>
      <c r="AD14" s="101">
        <v>36244500</v>
      </c>
      <c r="AE14" s="99">
        <v>0</v>
      </c>
      <c r="AF14" s="100">
        <v>0</v>
      </c>
      <c r="AG14" s="100">
        <v>0</v>
      </c>
      <c r="AH14" s="102">
        <v>0</v>
      </c>
      <c r="AI14" s="99">
        <v>0</v>
      </c>
      <c r="AJ14" s="100">
        <v>0</v>
      </c>
      <c r="AK14" s="100">
        <v>0</v>
      </c>
      <c r="AL14" s="102">
        <v>0</v>
      </c>
      <c r="AM14" s="99">
        <v>0</v>
      </c>
      <c r="AN14" s="100">
        <v>0</v>
      </c>
      <c r="AO14" s="100">
        <v>0</v>
      </c>
      <c r="AP14" s="102">
        <v>0</v>
      </c>
      <c r="AQ14" s="99">
        <v>0</v>
      </c>
      <c r="AR14" s="100">
        <v>0</v>
      </c>
      <c r="AS14" s="100">
        <v>0</v>
      </c>
      <c r="AT14" s="102">
        <v>0</v>
      </c>
      <c r="AU14" s="99">
        <v>0</v>
      </c>
      <c r="AV14" s="100">
        <v>0</v>
      </c>
      <c r="AW14" s="100">
        <v>0</v>
      </c>
      <c r="AX14" s="102">
        <v>0</v>
      </c>
      <c r="AY14" s="99">
        <v>0</v>
      </c>
      <c r="AZ14" s="100">
        <v>0</v>
      </c>
      <c r="BA14" s="100">
        <v>0</v>
      </c>
      <c r="BB14" s="102">
        <v>0</v>
      </c>
      <c r="BC14" s="99">
        <v>0</v>
      </c>
      <c r="BD14" s="100">
        <v>0</v>
      </c>
      <c r="BE14" s="100">
        <v>0</v>
      </c>
      <c r="BF14" s="101">
        <v>0</v>
      </c>
      <c r="BG14" s="99">
        <v>0</v>
      </c>
      <c r="BH14" s="100">
        <v>0</v>
      </c>
      <c r="BI14" s="100">
        <v>0</v>
      </c>
      <c r="BJ14" s="101">
        <v>0</v>
      </c>
      <c r="BK14" s="99">
        <v>0</v>
      </c>
      <c r="BL14" s="100">
        <v>0</v>
      </c>
      <c r="BM14" s="100">
        <v>0</v>
      </c>
      <c r="BN14" s="101">
        <v>0</v>
      </c>
      <c r="BO14" s="99"/>
      <c r="BP14" s="100"/>
      <c r="BQ14" s="100"/>
      <c r="BR14" s="101"/>
      <c r="BS14" s="99"/>
      <c r="BT14" s="100"/>
      <c r="BU14" s="100"/>
      <c r="BV14" s="101"/>
    </row>
    <row r="15" spans="2:74" s="12" customFormat="1" ht="15" thickBot="1">
      <c r="B15" s="12" t="e">
        <f t="shared" si="4"/>
        <v>#REF!</v>
      </c>
      <c r="C15" s="10" t="e">
        <f t="shared" si="0"/>
        <v>#REF!</v>
      </c>
      <c r="D15" s="12" t="e">
        <f t="shared" si="5"/>
        <v>#REF!</v>
      </c>
      <c r="E15" s="38" t="e">
        <f>IF(G15=0,E12,G15)</f>
        <v>#REF!</v>
      </c>
      <c r="F15" s="39" t="e">
        <f>IF(H15=0,F12,H15)</f>
        <v>#REF!</v>
      </c>
      <c r="G15" s="33"/>
      <c r="H15" s="190"/>
      <c r="I15" s="34" t="s">
        <v>25</v>
      </c>
      <c r="K15" s="38"/>
      <c r="L15" s="41"/>
      <c r="M15" s="41"/>
      <c r="N15" s="42"/>
      <c r="O15" s="38">
        <v>3404303</v>
      </c>
      <c r="P15" s="48">
        <f>+O15*1</f>
        <v>3404303</v>
      </c>
      <c r="Q15" s="44" t="str">
        <f>VLOOKUP(P15,[1]A!D:G,3,FALSE)</f>
        <v>R재</v>
      </c>
      <c r="R15" s="45" t="s">
        <v>43</v>
      </c>
      <c r="S15" s="99">
        <v>0</v>
      </c>
      <c r="T15" s="100">
        <v>0</v>
      </c>
      <c r="U15" s="100">
        <v>0</v>
      </c>
      <c r="V15" s="101">
        <v>0</v>
      </c>
      <c r="W15" s="99">
        <v>0</v>
      </c>
      <c r="X15" s="100">
        <v>0</v>
      </c>
      <c r="Y15" s="100">
        <v>0</v>
      </c>
      <c r="Z15" s="101">
        <v>0</v>
      </c>
      <c r="AA15" s="99">
        <v>0</v>
      </c>
      <c r="AB15" s="100">
        <v>0</v>
      </c>
      <c r="AC15" s="100">
        <v>0</v>
      </c>
      <c r="AD15" s="101">
        <v>0</v>
      </c>
      <c r="AE15" s="99">
        <v>0</v>
      </c>
      <c r="AF15" s="100">
        <v>0</v>
      </c>
      <c r="AG15" s="100">
        <v>0</v>
      </c>
      <c r="AH15" s="102">
        <v>0</v>
      </c>
      <c r="AI15" s="99">
        <v>0</v>
      </c>
      <c r="AJ15" s="100">
        <v>0</v>
      </c>
      <c r="AK15" s="100">
        <v>0</v>
      </c>
      <c r="AL15" s="102">
        <v>0</v>
      </c>
      <c r="AM15" s="99">
        <v>0</v>
      </c>
      <c r="AN15" s="100">
        <v>0</v>
      </c>
      <c r="AO15" s="100">
        <v>0</v>
      </c>
      <c r="AP15" s="102">
        <v>0</v>
      </c>
      <c r="AQ15" s="99">
        <v>0</v>
      </c>
      <c r="AR15" s="100">
        <v>0</v>
      </c>
      <c r="AS15" s="100">
        <v>0</v>
      </c>
      <c r="AT15" s="102">
        <v>0</v>
      </c>
      <c r="AU15" s="99">
        <v>0</v>
      </c>
      <c r="AV15" s="100">
        <v>0</v>
      </c>
      <c r="AW15" s="100">
        <v>0</v>
      </c>
      <c r="AX15" s="102">
        <v>0</v>
      </c>
      <c r="AY15" s="99">
        <v>0</v>
      </c>
      <c r="AZ15" s="100">
        <v>0</v>
      </c>
      <c r="BA15" s="100">
        <v>0</v>
      </c>
      <c r="BB15" s="102">
        <v>0</v>
      </c>
      <c r="BC15" s="99">
        <v>0</v>
      </c>
      <c r="BD15" s="100">
        <v>0</v>
      </c>
      <c r="BE15" s="100">
        <v>0</v>
      </c>
      <c r="BF15" s="101">
        <v>0</v>
      </c>
      <c r="BG15" s="99">
        <v>0</v>
      </c>
      <c r="BH15" s="100">
        <v>0</v>
      </c>
      <c r="BI15" s="100">
        <v>0</v>
      </c>
      <c r="BJ15" s="101">
        <v>0</v>
      </c>
      <c r="BK15" s="99">
        <v>0</v>
      </c>
      <c r="BL15" s="100">
        <v>0</v>
      </c>
      <c r="BM15" s="100">
        <v>0</v>
      </c>
      <c r="BN15" s="101">
        <v>0</v>
      </c>
      <c r="BO15" s="99">
        <v>0</v>
      </c>
      <c r="BP15" s="100">
        <v>0</v>
      </c>
      <c r="BQ15" s="100">
        <v>0</v>
      </c>
      <c r="BR15" s="101">
        <v>0</v>
      </c>
      <c r="BS15" s="99">
        <v>0</v>
      </c>
      <c r="BT15" s="100">
        <v>0</v>
      </c>
      <c r="BU15" s="100">
        <v>0</v>
      </c>
      <c r="BV15" s="101">
        <v>0</v>
      </c>
    </row>
    <row r="16" spans="2:74" s="12" customFormat="1" ht="15" thickBot="1">
      <c r="B16" s="12" t="e">
        <f t="shared" si="4"/>
        <v>#REF!</v>
      </c>
      <c r="C16" s="10" t="e">
        <f t="shared" si="0"/>
        <v>#REF!</v>
      </c>
      <c r="D16" s="12" t="e">
        <f t="shared" si="5"/>
        <v>#REF!</v>
      </c>
      <c r="E16" s="38" t="e">
        <f>IF(G16=0,E13,G16)</f>
        <v>#REF!</v>
      </c>
      <c r="F16" s="39" t="e">
        <f>IF(H16=0,F13,H16)</f>
        <v>#REF!</v>
      </c>
      <c r="G16" s="33"/>
      <c r="H16" s="190"/>
      <c r="I16" s="34" t="s">
        <v>25</v>
      </c>
      <c r="K16" s="38"/>
      <c r="L16" s="41"/>
      <c r="M16" s="41"/>
      <c r="N16" s="42"/>
      <c r="O16" s="38" t="s">
        <v>44</v>
      </c>
      <c r="P16" s="48">
        <f t="shared" si="2"/>
        <v>3403313</v>
      </c>
      <c r="Q16" s="44" t="str">
        <f>VLOOKUP(P16,[1]A!D:G,3,FALSE)</f>
        <v>R재</v>
      </c>
      <c r="R16" s="45" t="s">
        <v>45</v>
      </c>
      <c r="S16" s="99">
        <v>0.17333000000000001</v>
      </c>
      <c r="T16" s="100">
        <v>34400</v>
      </c>
      <c r="U16" s="100">
        <v>1787.69</v>
      </c>
      <c r="V16" s="101">
        <v>61496495</v>
      </c>
      <c r="W16" s="99">
        <v>0.112276</v>
      </c>
      <c r="X16" s="100">
        <v>5150</v>
      </c>
      <c r="Y16" s="100">
        <v>1819</v>
      </c>
      <c r="Z16" s="101">
        <v>9367830</v>
      </c>
      <c r="AA16" s="99">
        <v>0.111369</v>
      </c>
      <c r="AB16" s="100">
        <v>24825</v>
      </c>
      <c r="AC16" s="100">
        <v>1829.5663239999999</v>
      </c>
      <c r="AD16" s="101">
        <v>45418984</v>
      </c>
      <c r="AE16" s="99">
        <v>0</v>
      </c>
      <c r="AF16" s="100">
        <v>0</v>
      </c>
      <c r="AG16" s="100">
        <v>0</v>
      </c>
      <c r="AH16" s="102">
        <v>0</v>
      </c>
      <c r="AI16" s="99">
        <v>0.151561</v>
      </c>
      <c r="AJ16" s="100">
        <v>5000</v>
      </c>
      <c r="AK16" s="100">
        <v>1876.8417999999999</v>
      </c>
      <c r="AL16" s="102">
        <v>9384209</v>
      </c>
      <c r="AM16" s="99">
        <v>0.15593299999999999</v>
      </c>
      <c r="AN16" s="100">
        <v>11700</v>
      </c>
      <c r="AO16" s="100">
        <v>1879.5079479999999</v>
      </c>
      <c r="AP16" s="102">
        <v>21990243</v>
      </c>
      <c r="AQ16" s="99">
        <v>0.15609200000000001</v>
      </c>
      <c r="AR16" s="100">
        <v>7100</v>
      </c>
      <c r="AS16" s="100">
        <v>1880.1084499999999</v>
      </c>
      <c r="AT16" s="102">
        <v>13348770</v>
      </c>
      <c r="AU16" s="99">
        <v>0.155498</v>
      </c>
      <c r="AV16" s="100">
        <v>9525</v>
      </c>
      <c r="AW16" s="100">
        <v>1880.1084510000001</v>
      </c>
      <c r="AX16" s="102">
        <v>17908033</v>
      </c>
      <c r="AY16" s="99">
        <v>0.153695</v>
      </c>
      <c r="AZ16" s="100">
        <v>3825</v>
      </c>
      <c r="BA16" s="100">
        <v>1879.3155549999999</v>
      </c>
      <c r="BB16" s="102">
        <v>7188382</v>
      </c>
      <c r="BC16" s="99">
        <v>0.15506700000000001</v>
      </c>
      <c r="BD16" s="100">
        <v>8150</v>
      </c>
      <c r="BE16" s="100">
        <v>1926.449202</v>
      </c>
      <c r="BF16" s="101">
        <v>15700561</v>
      </c>
      <c r="BG16" s="99">
        <v>0</v>
      </c>
      <c r="BH16" s="100">
        <v>0</v>
      </c>
      <c r="BI16" s="100">
        <v>0</v>
      </c>
      <c r="BJ16" s="101">
        <v>0</v>
      </c>
      <c r="BK16" s="99">
        <v>0.15393200000000001</v>
      </c>
      <c r="BL16" s="100">
        <v>9525</v>
      </c>
      <c r="BM16" s="100">
        <v>1743.1858259999999</v>
      </c>
      <c r="BN16" s="101">
        <v>16603845</v>
      </c>
      <c r="BO16" s="99">
        <v>0.15340799999999999</v>
      </c>
      <c r="BP16" s="100">
        <v>12400</v>
      </c>
      <c r="BQ16" s="100">
        <v>1667.881854</v>
      </c>
      <c r="BR16" s="101">
        <v>20681735</v>
      </c>
      <c r="BS16" s="99">
        <v>0.15361</v>
      </c>
      <c r="BT16" s="100">
        <v>20750</v>
      </c>
      <c r="BU16" s="100">
        <v>1656.7833250000001</v>
      </c>
      <c r="BV16" s="101">
        <v>34378254</v>
      </c>
    </row>
    <row r="17" spans="2:74" s="12" customFormat="1" ht="15" thickBot="1">
      <c r="C17" s="10" t="e">
        <f t="shared" si="0"/>
        <v>#REF!</v>
      </c>
      <c r="E17" s="38" t="e">
        <f t="shared" si="3"/>
        <v>#REF!</v>
      </c>
      <c r="F17" s="39"/>
      <c r="G17" s="33"/>
      <c r="H17" s="190"/>
      <c r="I17" s="34" t="s">
        <v>25</v>
      </c>
      <c r="K17" s="38"/>
      <c r="L17" s="41"/>
      <c r="M17" s="41"/>
      <c r="N17" s="42"/>
      <c r="O17" s="38"/>
      <c r="P17" s="48"/>
      <c r="Q17" s="49">
        <f>VLOOKUP(P17,[1]A!D:G,3,FALSE)</f>
        <v>0</v>
      </c>
      <c r="R17" s="50" t="str">
        <f>+Q16</f>
        <v>R재</v>
      </c>
      <c r="S17" s="107">
        <v>0.64230500000000001</v>
      </c>
      <c r="T17" s="108">
        <v>127475</v>
      </c>
      <c r="U17" s="108">
        <v>1854.4506530692292</v>
      </c>
      <c r="V17" s="122">
        <v>236396097</v>
      </c>
      <c r="W17" s="107">
        <v>0.63746700000000012</v>
      </c>
      <c r="X17" s="108">
        <v>29240</v>
      </c>
      <c r="Y17" s="108">
        <v>1836.107660738714</v>
      </c>
      <c r="Z17" s="122">
        <v>53687788</v>
      </c>
      <c r="AA17" s="107">
        <v>0.63164799999999999</v>
      </c>
      <c r="AB17" s="108">
        <v>140799</v>
      </c>
      <c r="AC17" s="108">
        <v>1856.0322232402218</v>
      </c>
      <c r="AD17" s="122">
        <v>261327481</v>
      </c>
      <c r="AE17" s="107">
        <v>0</v>
      </c>
      <c r="AF17" s="108">
        <v>0</v>
      </c>
      <c r="AG17" s="108">
        <v>0</v>
      </c>
      <c r="AH17" s="109">
        <v>0</v>
      </c>
      <c r="AI17" s="107">
        <v>0.64261900000000005</v>
      </c>
      <c r="AJ17" s="108">
        <v>21200</v>
      </c>
      <c r="AK17" s="108">
        <v>1998.9265094339623</v>
      </c>
      <c r="AL17" s="109">
        <v>42377242</v>
      </c>
      <c r="AM17" s="107">
        <v>0.66105099999999994</v>
      </c>
      <c r="AN17" s="108">
        <v>49600</v>
      </c>
      <c r="AO17" s="108">
        <v>2022.8915524193549</v>
      </c>
      <c r="AP17" s="109">
        <v>100335421</v>
      </c>
      <c r="AQ17" s="107">
        <v>0.66339100000000006</v>
      </c>
      <c r="AR17" s="108">
        <v>30175</v>
      </c>
      <c r="AS17" s="108">
        <v>2028.5022038111019</v>
      </c>
      <c r="AT17" s="109">
        <v>61210054</v>
      </c>
      <c r="AU17" s="107">
        <v>0.65953800000000007</v>
      </c>
      <c r="AV17" s="108">
        <v>40400</v>
      </c>
      <c r="AW17" s="108">
        <v>2032.5209900990099</v>
      </c>
      <c r="AX17" s="109">
        <v>82113848</v>
      </c>
      <c r="AY17" s="107">
        <v>0.65194699999999994</v>
      </c>
      <c r="AZ17" s="108">
        <v>16225</v>
      </c>
      <c r="BA17" s="108">
        <v>2051.1247457627119</v>
      </c>
      <c r="BB17" s="109">
        <v>33279499</v>
      </c>
      <c r="BC17" s="107">
        <v>0.65832099999999993</v>
      </c>
      <c r="BD17" s="108">
        <v>34600</v>
      </c>
      <c r="BE17" s="108">
        <v>2073.4301445086703</v>
      </c>
      <c r="BF17" s="122">
        <v>71740683</v>
      </c>
      <c r="BG17" s="107">
        <v>0</v>
      </c>
      <c r="BH17" s="108">
        <v>0</v>
      </c>
      <c r="BI17" s="108">
        <v>0</v>
      </c>
      <c r="BJ17" s="122">
        <v>0</v>
      </c>
      <c r="BK17" s="107">
        <v>0.65330200000000005</v>
      </c>
      <c r="BL17" s="108">
        <v>40425</v>
      </c>
      <c r="BM17" s="108">
        <v>1886.8018552875697</v>
      </c>
      <c r="BN17" s="122">
        <v>76273965</v>
      </c>
      <c r="BO17" s="107">
        <v>0.65136700000000003</v>
      </c>
      <c r="BP17" s="108">
        <v>52650</v>
      </c>
      <c r="BQ17" s="108">
        <v>1835.9188414055081</v>
      </c>
      <c r="BR17" s="122">
        <v>96661127</v>
      </c>
      <c r="BS17" s="107">
        <v>0.65201100000000001</v>
      </c>
      <c r="BT17" s="108">
        <v>88075</v>
      </c>
      <c r="BU17" s="108">
        <v>1819.7751802441101</v>
      </c>
      <c r="BV17" s="122">
        <v>160276699</v>
      </c>
    </row>
    <row r="18" spans="2:74" s="139" customFormat="1" ht="15" thickBot="1">
      <c r="B18" s="156" t="e">
        <f>CONCATENATE(E18,O18)</f>
        <v>#REF!</v>
      </c>
      <c r="C18" s="52" t="e">
        <f t="shared" si="0"/>
        <v>#REF!</v>
      </c>
      <c r="D18" s="156" t="e">
        <f>CONCATENATE(E18,R18)</f>
        <v>#REF!</v>
      </c>
      <c r="E18" s="152" t="e">
        <f t="shared" si="3"/>
        <v>#REF!</v>
      </c>
      <c r="F18" s="157" t="e">
        <f>IF(H18=0,F10,H18)</f>
        <v>#REF!</v>
      </c>
      <c r="G18" s="55"/>
      <c r="H18" s="190"/>
      <c r="I18" s="34" t="s">
        <v>25</v>
      </c>
      <c r="J18" s="156"/>
      <c r="K18" s="152"/>
      <c r="L18" s="140"/>
      <c r="M18" s="140"/>
      <c r="N18" s="158"/>
      <c r="O18" s="152" t="s">
        <v>46</v>
      </c>
      <c r="P18" s="159">
        <f t="shared" ref="P18:P27" si="6">+O18*1</f>
        <v>3414085</v>
      </c>
      <c r="Q18" s="44" t="str">
        <f>VLOOKUP(P18,[1]A!D:G,3,FALSE)</f>
        <v>SEBS</v>
      </c>
      <c r="R18" s="45" t="s">
        <v>47</v>
      </c>
      <c r="S18" s="99">
        <v>0</v>
      </c>
      <c r="T18" s="100">
        <v>0</v>
      </c>
      <c r="U18" s="100">
        <v>0</v>
      </c>
      <c r="V18" s="101">
        <v>0</v>
      </c>
      <c r="W18" s="99">
        <v>0</v>
      </c>
      <c r="X18" s="100">
        <v>0</v>
      </c>
      <c r="Y18" s="100">
        <v>0</v>
      </c>
      <c r="Z18" s="101">
        <v>0</v>
      </c>
      <c r="AA18" s="99">
        <v>0</v>
      </c>
      <c r="AB18" s="100">
        <v>0</v>
      </c>
      <c r="AC18" s="100">
        <v>0</v>
      </c>
      <c r="AD18" s="101">
        <v>0</v>
      </c>
      <c r="AE18" s="99">
        <v>0</v>
      </c>
      <c r="AF18" s="100">
        <v>0</v>
      </c>
      <c r="AG18" s="100">
        <v>0</v>
      </c>
      <c r="AH18" s="102">
        <v>0</v>
      </c>
      <c r="AI18" s="99">
        <v>0</v>
      </c>
      <c r="AJ18" s="100">
        <v>0</v>
      </c>
      <c r="AK18" s="100">
        <v>0</v>
      </c>
      <c r="AL18" s="102">
        <v>0</v>
      </c>
      <c r="AM18" s="99">
        <v>0</v>
      </c>
      <c r="AN18" s="100">
        <v>0</v>
      </c>
      <c r="AO18" s="100">
        <v>0</v>
      </c>
      <c r="AP18" s="102">
        <v>0</v>
      </c>
      <c r="AQ18" s="99">
        <v>0</v>
      </c>
      <c r="AR18" s="100">
        <v>0</v>
      </c>
      <c r="AS18" s="100">
        <v>0</v>
      </c>
      <c r="AT18" s="102">
        <v>0</v>
      </c>
      <c r="AU18" s="99">
        <v>0</v>
      </c>
      <c r="AV18" s="100">
        <v>0</v>
      </c>
      <c r="AW18" s="100">
        <v>0</v>
      </c>
      <c r="AX18" s="102">
        <v>0</v>
      </c>
      <c r="AY18" s="99">
        <v>0</v>
      </c>
      <c r="AZ18" s="100">
        <v>0</v>
      </c>
      <c r="BA18" s="100">
        <v>0</v>
      </c>
      <c r="BB18" s="102">
        <v>0</v>
      </c>
      <c r="BC18" s="99">
        <v>0</v>
      </c>
      <c r="BD18" s="100">
        <v>0</v>
      </c>
      <c r="BE18" s="100">
        <v>0</v>
      </c>
      <c r="BF18" s="101">
        <v>0</v>
      </c>
      <c r="BG18" s="99">
        <v>0</v>
      </c>
      <c r="BH18" s="100">
        <v>0</v>
      </c>
      <c r="BI18" s="100">
        <v>0</v>
      </c>
      <c r="BJ18" s="101">
        <v>0</v>
      </c>
      <c r="BK18" s="99">
        <v>0</v>
      </c>
      <c r="BL18" s="100">
        <v>0</v>
      </c>
      <c r="BM18" s="100">
        <v>0</v>
      </c>
      <c r="BN18" s="101">
        <v>0</v>
      </c>
      <c r="BO18" s="99">
        <v>0</v>
      </c>
      <c r="BP18" s="100">
        <v>0</v>
      </c>
      <c r="BQ18" s="100">
        <v>0</v>
      </c>
      <c r="BR18" s="101">
        <v>0</v>
      </c>
      <c r="BS18" s="99">
        <v>0</v>
      </c>
      <c r="BT18" s="100">
        <v>0</v>
      </c>
      <c r="BU18" s="100">
        <v>0</v>
      </c>
      <c r="BV18" s="101">
        <v>0</v>
      </c>
    </row>
    <row r="19" spans="2:74" s="139" customFormat="1" ht="15" thickBot="1">
      <c r="B19" s="156" t="e">
        <f>CONCATENATE(E19,O19)</f>
        <v>#REF!</v>
      </c>
      <c r="C19" s="52" t="e">
        <f t="shared" si="0"/>
        <v>#REF!</v>
      </c>
      <c r="D19" s="156" t="e">
        <f>CONCATENATE(E19,R19)</f>
        <v>#REF!</v>
      </c>
      <c r="E19" s="152" t="e">
        <f>IF(G19=0,E18,G19)</f>
        <v>#REF!</v>
      </c>
      <c r="F19" s="157" t="e">
        <f>IF(H19=0,F11,H19)</f>
        <v>#REF!</v>
      </c>
      <c r="G19" s="55"/>
      <c r="H19" s="190"/>
      <c r="I19" s="34" t="s">
        <v>25</v>
      </c>
      <c r="J19" s="156"/>
      <c r="K19" s="152"/>
      <c r="L19" s="140"/>
      <c r="M19" s="140"/>
      <c r="N19" s="158"/>
      <c r="O19" s="152">
        <v>3414086</v>
      </c>
      <c r="P19" s="159">
        <f>+O19*1</f>
        <v>3414086</v>
      </c>
      <c r="Q19" s="44" t="str">
        <f>VLOOKUP(P19,[1]A!D:G,3,FALSE)</f>
        <v>SEBS</v>
      </c>
      <c r="R19" s="45" t="s">
        <v>48</v>
      </c>
      <c r="S19" s="99">
        <v>3.7664000000000003E-2</v>
      </c>
      <c r="T19" s="100">
        <v>7475</v>
      </c>
      <c r="U19" s="100">
        <v>4200</v>
      </c>
      <c r="V19" s="101">
        <v>31395000</v>
      </c>
      <c r="W19" s="99">
        <v>3.8370000000000001E-2</v>
      </c>
      <c r="X19" s="100">
        <v>1760</v>
      </c>
      <c r="Y19" s="100">
        <v>4200</v>
      </c>
      <c r="Z19" s="101">
        <v>7392000</v>
      </c>
      <c r="AA19" s="99">
        <v>3.7123000000000003E-2</v>
      </c>
      <c r="AB19" s="100">
        <v>8275</v>
      </c>
      <c r="AC19" s="100">
        <v>4084.624652</v>
      </c>
      <c r="AD19" s="101">
        <v>33800269</v>
      </c>
      <c r="AE19" s="99">
        <v>0</v>
      </c>
      <c r="AF19" s="100">
        <v>0</v>
      </c>
      <c r="AG19" s="100">
        <v>0</v>
      </c>
      <c r="AH19" s="102">
        <v>0</v>
      </c>
      <c r="AI19" s="99">
        <v>3.7131999999999998E-2</v>
      </c>
      <c r="AJ19" s="100">
        <v>1225</v>
      </c>
      <c r="AK19" s="100">
        <v>4210.6244889999998</v>
      </c>
      <c r="AL19" s="102">
        <v>5158015</v>
      </c>
      <c r="AM19" s="99">
        <v>3.8982999999999997E-2</v>
      </c>
      <c r="AN19" s="100">
        <v>2925</v>
      </c>
      <c r="AO19" s="100">
        <v>4251.8574349999999</v>
      </c>
      <c r="AP19" s="102">
        <v>12436683</v>
      </c>
      <c r="AQ19" s="99">
        <v>3.9023000000000002E-2</v>
      </c>
      <c r="AR19" s="100">
        <v>1775</v>
      </c>
      <c r="AS19" s="100">
        <v>4251.8574639999997</v>
      </c>
      <c r="AT19" s="102">
        <v>7547047</v>
      </c>
      <c r="AU19" s="99">
        <v>3.8772000000000001E-2</v>
      </c>
      <c r="AV19" s="100">
        <v>2375</v>
      </c>
      <c r="AW19" s="100">
        <v>4251.8576839999996</v>
      </c>
      <c r="AX19" s="102">
        <v>10098162</v>
      </c>
      <c r="AY19" s="99">
        <v>3.8172999999999999E-2</v>
      </c>
      <c r="AZ19" s="100">
        <v>950</v>
      </c>
      <c r="BA19" s="100">
        <v>4250.550526</v>
      </c>
      <c r="BB19" s="102">
        <v>4038023</v>
      </c>
      <c r="BC19" s="99">
        <v>3.8529000000000001E-2</v>
      </c>
      <c r="BD19" s="100">
        <v>2025</v>
      </c>
      <c r="BE19" s="100">
        <v>4250.550123</v>
      </c>
      <c r="BF19" s="101">
        <v>8607364</v>
      </c>
      <c r="BG19" s="99">
        <v>0</v>
      </c>
      <c r="BH19" s="100">
        <v>0</v>
      </c>
      <c r="BI19" s="100">
        <v>0</v>
      </c>
      <c r="BJ19" s="101">
        <v>0</v>
      </c>
      <c r="BK19" s="99">
        <v>3.8786000000000001E-2</v>
      </c>
      <c r="BL19" s="100">
        <v>2400</v>
      </c>
      <c r="BM19" s="100">
        <v>4547.7604160000001</v>
      </c>
      <c r="BN19" s="101">
        <v>10914625</v>
      </c>
      <c r="BO19" s="99">
        <v>3.8351999999999997E-2</v>
      </c>
      <c r="BP19" s="100">
        <v>3100</v>
      </c>
      <c r="BQ19" s="100">
        <v>4596.6099999999997</v>
      </c>
      <c r="BR19" s="101">
        <v>14249491</v>
      </c>
      <c r="BS19" s="99">
        <v>3.8309999999999997E-2</v>
      </c>
      <c r="BT19" s="100">
        <v>5175</v>
      </c>
      <c r="BU19" s="100">
        <v>4390.9561350000004</v>
      </c>
      <c r="BV19" s="101">
        <v>22723198</v>
      </c>
    </row>
    <row r="20" spans="2:74" s="12" customFormat="1" ht="15" thickBot="1">
      <c r="C20" s="10" t="e">
        <f t="shared" si="0"/>
        <v>#REF!</v>
      </c>
      <c r="E20" s="38" t="e">
        <f>IF(G20=0,E19,G20)</f>
        <v>#REF!</v>
      </c>
      <c r="F20" s="39"/>
      <c r="G20" s="33"/>
      <c r="H20" s="190"/>
      <c r="I20" s="34" t="s">
        <v>25</v>
      </c>
      <c r="K20" s="38"/>
      <c r="L20" s="41"/>
      <c r="M20" s="41"/>
      <c r="N20" s="42"/>
      <c r="O20" s="38"/>
      <c r="P20" s="48"/>
      <c r="Q20" s="49">
        <f>VLOOKUP(P20,[1]A!D:G,3,FALSE)</f>
        <v>0</v>
      </c>
      <c r="R20" s="50" t="str">
        <f>+Q19</f>
        <v>SEBS</v>
      </c>
      <c r="S20" s="107">
        <v>3.7664000000000003E-2</v>
      </c>
      <c r="T20" s="108">
        <v>7475</v>
      </c>
      <c r="U20" s="155">
        <v>4200</v>
      </c>
      <c r="V20" s="122">
        <v>31395000</v>
      </c>
      <c r="W20" s="107">
        <v>3.8370000000000001E-2</v>
      </c>
      <c r="X20" s="108">
        <v>1760</v>
      </c>
      <c r="Y20" s="108">
        <v>4200</v>
      </c>
      <c r="Z20" s="122">
        <v>7392000</v>
      </c>
      <c r="AA20" s="107">
        <v>3.7123000000000003E-2</v>
      </c>
      <c r="AB20" s="108">
        <v>8275</v>
      </c>
      <c r="AC20" s="155">
        <v>4084.6246525679758</v>
      </c>
      <c r="AD20" s="122">
        <v>33800269</v>
      </c>
      <c r="AE20" s="107">
        <v>0</v>
      </c>
      <c r="AF20" s="108">
        <v>0</v>
      </c>
      <c r="AG20" s="155">
        <v>0</v>
      </c>
      <c r="AH20" s="109">
        <v>0</v>
      </c>
      <c r="AI20" s="107">
        <v>3.7131999999999998E-2</v>
      </c>
      <c r="AJ20" s="108">
        <v>1225</v>
      </c>
      <c r="AK20" s="155">
        <v>4210.6244897959186</v>
      </c>
      <c r="AL20" s="109">
        <v>5158015</v>
      </c>
      <c r="AM20" s="107">
        <v>3.8982999999999997E-2</v>
      </c>
      <c r="AN20" s="108">
        <v>2925</v>
      </c>
      <c r="AO20" s="155">
        <v>4251.8574358974356</v>
      </c>
      <c r="AP20" s="109">
        <v>12436683</v>
      </c>
      <c r="AQ20" s="107">
        <v>3.9023000000000002E-2</v>
      </c>
      <c r="AR20" s="108">
        <v>1775</v>
      </c>
      <c r="AS20" s="155">
        <v>4251.8574647887326</v>
      </c>
      <c r="AT20" s="109">
        <v>7547047</v>
      </c>
      <c r="AU20" s="107">
        <v>3.8772000000000001E-2</v>
      </c>
      <c r="AV20" s="108">
        <v>2375</v>
      </c>
      <c r="AW20" s="155">
        <v>4251.8576842105267</v>
      </c>
      <c r="AX20" s="109">
        <v>10098162</v>
      </c>
      <c r="AY20" s="107">
        <v>3.8172999999999999E-2</v>
      </c>
      <c r="AZ20" s="108">
        <v>950</v>
      </c>
      <c r="BA20" s="155">
        <v>4250.5505263157893</v>
      </c>
      <c r="BB20" s="109">
        <v>4038023</v>
      </c>
      <c r="BC20" s="107">
        <v>3.8529000000000001E-2</v>
      </c>
      <c r="BD20" s="108">
        <v>2025</v>
      </c>
      <c r="BE20" s="155">
        <v>4250.5501234567901</v>
      </c>
      <c r="BF20" s="122">
        <v>8607364</v>
      </c>
      <c r="BG20" s="107">
        <v>0</v>
      </c>
      <c r="BH20" s="108">
        <v>0</v>
      </c>
      <c r="BI20" s="155">
        <v>0</v>
      </c>
      <c r="BJ20" s="122">
        <v>0</v>
      </c>
      <c r="BK20" s="107">
        <v>3.8786000000000001E-2</v>
      </c>
      <c r="BL20" s="108">
        <v>2400</v>
      </c>
      <c r="BM20" s="155">
        <v>4547.760416666667</v>
      </c>
      <c r="BN20" s="122">
        <v>10914625</v>
      </c>
      <c r="BO20" s="107">
        <v>3.8351999999999997E-2</v>
      </c>
      <c r="BP20" s="108">
        <v>3100</v>
      </c>
      <c r="BQ20" s="155">
        <v>4596.6099999999997</v>
      </c>
      <c r="BR20" s="122">
        <v>14249491</v>
      </c>
      <c r="BS20" s="107">
        <v>3.8309999999999997E-2</v>
      </c>
      <c r="BT20" s="108">
        <v>5175</v>
      </c>
      <c r="BU20" s="108">
        <v>4390.9561352657001</v>
      </c>
      <c r="BV20" s="122">
        <v>22723198</v>
      </c>
    </row>
    <row r="21" spans="2:74" s="12" customFormat="1" ht="18" customHeight="1" thickBot="1">
      <c r="B21" s="138" t="e">
        <f t="shared" ref="B21:B27" si="7">CONCATENATE(E21,O21)</f>
        <v>#REF!</v>
      </c>
      <c r="C21" s="52" t="e">
        <f t="shared" si="0"/>
        <v>#REF!</v>
      </c>
      <c r="D21" s="138" t="e">
        <f t="shared" ref="D21:D27" si="8">CONCATENATE(E21,R21)</f>
        <v>#REF!</v>
      </c>
      <c r="E21" s="53" t="e">
        <f>IF(G21=0,E18,G21)</f>
        <v>#REF!</v>
      </c>
      <c r="F21" s="54" t="e">
        <f>IF(H21=0,F11,H21)</f>
        <v>#REF!</v>
      </c>
      <c r="G21" s="55"/>
      <c r="H21" s="190"/>
      <c r="I21" s="34" t="s">
        <v>25</v>
      </c>
      <c r="J21" s="138"/>
      <c r="K21" s="53"/>
      <c r="L21" s="46"/>
      <c r="M21" s="46"/>
      <c r="N21" s="56"/>
      <c r="O21" s="53" t="s">
        <v>49</v>
      </c>
      <c r="P21" s="43">
        <f t="shared" si="6"/>
        <v>3457002</v>
      </c>
      <c r="Q21" s="44">
        <f>VLOOKUP(P21,[1]A!D:G,3,FALSE)</f>
        <v>0</v>
      </c>
      <c r="R21" s="45" t="s">
        <v>50</v>
      </c>
      <c r="S21" s="99">
        <v>0</v>
      </c>
      <c r="T21" s="100">
        <v>0</v>
      </c>
      <c r="U21" s="100">
        <v>0</v>
      </c>
      <c r="V21" s="101">
        <v>0</v>
      </c>
      <c r="W21" s="99">
        <v>0</v>
      </c>
      <c r="X21" s="100">
        <v>0</v>
      </c>
      <c r="Y21" s="100">
        <v>0</v>
      </c>
      <c r="Z21" s="101">
        <v>0</v>
      </c>
      <c r="AA21" s="99">
        <v>0</v>
      </c>
      <c r="AB21" s="100">
        <v>0</v>
      </c>
      <c r="AC21" s="100">
        <v>0</v>
      </c>
      <c r="AD21" s="101">
        <v>0</v>
      </c>
      <c r="AE21" s="99">
        <v>0</v>
      </c>
      <c r="AF21" s="100">
        <v>0</v>
      </c>
      <c r="AG21" s="100">
        <v>0</v>
      </c>
      <c r="AH21" s="102">
        <v>0</v>
      </c>
      <c r="AI21" s="99">
        <v>0</v>
      </c>
      <c r="AJ21" s="100">
        <v>0</v>
      </c>
      <c r="AK21" s="100">
        <v>0</v>
      </c>
      <c r="AL21" s="102">
        <v>0</v>
      </c>
      <c r="AM21" s="99">
        <v>0</v>
      </c>
      <c r="AN21" s="100">
        <v>0</v>
      </c>
      <c r="AO21" s="100">
        <v>0</v>
      </c>
      <c r="AP21" s="102">
        <v>0</v>
      </c>
      <c r="AQ21" s="99">
        <v>0</v>
      </c>
      <c r="AR21" s="100">
        <v>0</v>
      </c>
      <c r="AS21" s="100">
        <v>0</v>
      </c>
      <c r="AT21" s="102">
        <v>0</v>
      </c>
      <c r="AU21" s="99">
        <v>0</v>
      </c>
      <c r="AV21" s="100">
        <v>0</v>
      </c>
      <c r="AW21" s="100">
        <v>0</v>
      </c>
      <c r="AX21" s="102">
        <v>0</v>
      </c>
      <c r="AY21" s="99">
        <v>0</v>
      </c>
      <c r="AZ21" s="100">
        <v>0</v>
      </c>
      <c r="BA21" s="100">
        <v>0</v>
      </c>
      <c r="BB21" s="102">
        <v>0</v>
      </c>
      <c r="BC21" s="99">
        <v>0</v>
      </c>
      <c r="BD21" s="100">
        <v>0</v>
      </c>
      <c r="BE21" s="100">
        <v>0</v>
      </c>
      <c r="BF21" s="101">
        <v>0</v>
      </c>
      <c r="BG21" s="99">
        <v>0</v>
      </c>
      <c r="BH21" s="100">
        <v>0</v>
      </c>
      <c r="BI21" s="100">
        <v>0</v>
      </c>
      <c r="BJ21" s="101">
        <v>0</v>
      </c>
      <c r="BK21" s="99">
        <v>0</v>
      </c>
      <c r="BL21" s="100">
        <v>0</v>
      </c>
      <c r="BM21" s="100">
        <v>0</v>
      </c>
      <c r="BN21" s="101">
        <v>0</v>
      </c>
      <c r="BO21" s="99">
        <v>0</v>
      </c>
      <c r="BP21" s="100">
        <v>0</v>
      </c>
      <c r="BQ21" s="100">
        <v>0</v>
      </c>
      <c r="BR21" s="101">
        <v>0</v>
      </c>
      <c r="BS21" s="99">
        <v>0</v>
      </c>
      <c r="BT21" s="100">
        <v>0</v>
      </c>
      <c r="BU21" s="100">
        <v>0</v>
      </c>
      <c r="BV21" s="101">
        <v>0</v>
      </c>
    </row>
    <row r="22" spans="2:74" s="12" customFormat="1" ht="18" customHeight="1" thickBot="1">
      <c r="B22" s="138" t="e">
        <f t="shared" si="7"/>
        <v>#REF!</v>
      </c>
      <c r="C22" s="52" t="e">
        <f t="shared" si="0"/>
        <v>#REF!</v>
      </c>
      <c r="D22" s="138" t="e">
        <f t="shared" si="8"/>
        <v>#REF!</v>
      </c>
      <c r="E22" s="53" t="e">
        <f t="shared" si="3"/>
        <v>#REF!</v>
      </c>
      <c r="F22" s="54" t="e">
        <f>IF(H22=0,F12,H22)</f>
        <v>#REF!</v>
      </c>
      <c r="G22" s="55"/>
      <c r="H22" s="190"/>
      <c r="I22" s="34" t="s">
        <v>25</v>
      </c>
      <c r="J22" s="138"/>
      <c r="K22" s="53"/>
      <c r="L22" s="46"/>
      <c r="M22" s="46"/>
      <c r="N22" s="56"/>
      <c r="O22" s="53" t="s">
        <v>51</v>
      </c>
      <c r="P22" s="43">
        <f t="shared" si="6"/>
        <v>3457011</v>
      </c>
      <c r="Q22" s="44">
        <f>VLOOKUP(P22,[1]A!D:G,3,FALSE)</f>
        <v>0</v>
      </c>
      <c r="R22" s="45" t="s">
        <v>52</v>
      </c>
      <c r="S22" s="99">
        <v>0</v>
      </c>
      <c r="T22" s="100">
        <v>0</v>
      </c>
      <c r="U22" s="100">
        <v>0</v>
      </c>
      <c r="V22" s="101">
        <v>0</v>
      </c>
      <c r="W22" s="99">
        <v>0</v>
      </c>
      <c r="X22" s="100">
        <v>0</v>
      </c>
      <c r="Y22" s="100">
        <v>0</v>
      </c>
      <c r="Z22" s="101">
        <v>0</v>
      </c>
      <c r="AA22" s="99">
        <v>0</v>
      </c>
      <c r="AB22" s="100">
        <v>0</v>
      </c>
      <c r="AC22" s="100">
        <v>0</v>
      </c>
      <c r="AD22" s="101">
        <v>0</v>
      </c>
      <c r="AE22" s="99">
        <v>0</v>
      </c>
      <c r="AF22" s="100">
        <v>0</v>
      </c>
      <c r="AG22" s="100">
        <v>0</v>
      </c>
      <c r="AH22" s="102">
        <v>0</v>
      </c>
      <c r="AI22" s="99">
        <v>0</v>
      </c>
      <c r="AJ22" s="100">
        <v>0</v>
      </c>
      <c r="AK22" s="100">
        <v>0</v>
      </c>
      <c r="AL22" s="102">
        <v>0</v>
      </c>
      <c r="AM22" s="99">
        <v>0</v>
      </c>
      <c r="AN22" s="100">
        <v>0</v>
      </c>
      <c r="AO22" s="100">
        <v>0</v>
      </c>
      <c r="AP22" s="102">
        <v>0</v>
      </c>
      <c r="AQ22" s="99">
        <v>0</v>
      </c>
      <c r="AR22" s="100">
        <v>0</v>
      </c>
      <c r="AS22" s="100">
        <v>0</v>
      </c>
      <c r="AT22" s="102">
        <v>0</v>
      </c>
      <c r="AU22" s="99">
        <v>0</v>
      </c>
      <c r="AV22" s="100">
        <v>0</v>
      </c>
      <c r="AW22" s="100">
        <v>0</v>
      </c>
      <c r="AX22" s="102">
        <v>0</v>
      </c>
      <c r="AY22" s="99">
        <v>0</v>
      </c>
      <c r="AZ22" s="100">
        <v>0</v>
      </c>
      <c r="BA22" s="100">
        <v>0</v>
      </c>
      <c r="BB22" s="102">
        <v>0</v>
      </c>
      <c r="BC22" s="99">
        <v>0</v>
      </c>
      <c r="BD22" s="100">
        <v>0</v>
      </c>
      <c r="BE22" s="100">
        <v>0</v>
      </c>
      <c r="BF22" s="101">
        <v>0</v>
      </c>
      <c r="BG22" s="99">
        <v>0</v>
      </c>
      <c r="BH22" s="100">
        <v>0</v>
      </c>
      <c r="BI22" s="100">
        <v>0</v>
      </c>
      <c r="BJ22" s="101">
        <v>0</v>
      </c>
      <c r="BK22" s="99">
        <v>0</v>
      </c>
      <c r="BL22" s="100">
        <v>0</v>
      </c>
      <c r="BM22" s="100">
        <v>0</v>
      </c>
      <c r="BN22" s="101">
        <v>0</v>
      </c>
      <c r="BO22" s="99">
        <v>0</v>
      </c>
      <c r="BP22" s="100">
        <v>0</v>
      </c>
      <c r="BQ22" s="100">
        <v>0</v>
      </c>
      <c r="BR22" s="101">
        <v>0</v>
      </c>
      <c r="BS22" s="99">
        <v>0</v>
      </c>
      <c r="BT22" s="100">
        <v>0</v>
      </c>
      <c r="BU22" s="100">
        <v>0</v>
      </c>
      <c r="BV22" s="101">
        <v>0</v>
      </c>
    </row>
    <row r="23" spans="2:74" s="12" customFormat="1" ht="15" thickBot="1">
      <c r="B23" s="12" t="e">
        <f t="shared" si="7"/>
        <v>#REF!</v>
      </c>
      <c r="C23" s="10" t="e">
        <f t="shared" si="0"/>
        <v>#REF!</v>
      </c>
      <c r="D23" s="12" t="e">
        <f t="shared" si="8"/>
        <v>#REF!</v>
      </c>
      <c r="E23" s="38" t="e">
        <f t="shared" si="3"/>
        <v>#REF!</v>
      </c>
      <c r="F23" s="39" t="e">
        <f>IF(H23=0,F13,H23)</f>
        <v>#REF!</v>
      </c>
      <c r="G23" s="33"/>
      <c r="H23" s="190"/>
      <c r="I23" s="34" t="s">
        <v>25</v>
      </c>
      <c r="K23" s="38"/>
      <c r="L23" s="41"/>
      <c r="M23" s="41"/>
      <c r="N23" s="42"/>
      <c r="O23" s="38" t="s">
        <v>53</v>
      </c>
      <c r="P23" s="48">
        <f t="shared" si="6"/>
        <v>3457015</v>
      </c>
      <c r="Q23" s="44" t="str">
        <f>VLOOKUP(P23,[1]A!D:G,3,FALSE)</f>
        <v xml:space="preserve">C/F </v>
      </c>
      <c r="R23" s="45" t="s">
        <v>54</v>
      </c>
      <c r="S23" s="99">
        <v>2.6699999999999998E-4</v>
      </c>
      <c r="T23" s="100">
        <v>53</v>
      </c>
      <c r="U23" s="100">
        <v>13778.98</v>
      </c>
      <c r="V23" s="101">
        <v>730286</v>
      </c>
      <c r="W23" s="99">
        <v>4.8050000000000002E-2</v>
      </c>
      <c r="X23" s="100">
        <v>2204</v>
      </c>
      <c r="Y23" s="100">
        <v>14373.57</v>
      </c>
      <c r="Z23" s="101">
        <v>31679348</v>
      </c>
      <c r="AA23" s="99">
        <v>5.0473999999999998E-2</v>
      </c>
      <c r="AB23" s="100">
        <v>11251</v>
      </c>
      <c r="AC23" s="100">
        <v>14782.04444</v>
      </c>
      <c r="AD23" s="101">
        <v>166312782</v>
      </c>
      <c r="AE23" s="99">
        <v>0</v>
      </c>
      <c r="AF23" s="100">
        <v>0</v>
      </c>
      <c r="AG23" s="100">
        <v>0</v>
      </c>
      <c r="AH23" s="102">
        <v>0</v>
      </c>
      <c r="AI23" s="99">
        <v>0</v>
      </c>
      <c r="AJ23" s="100">
        <v>0</v>
      </c>
      <c r="AK23" s="100">
        <v>0</v>
      </c>
      <c r="AL23" s="102">
        <v>0</v>
      </c>
      <c r="AM23" s="99">
        <v>0</v>
      </c>
      <c r="AN23" s="100">
        <v>0</v>
      </c>
      <c r="AO23" s="100">
        <v>0</v>
      </c>
      <c r="AP23" s="102">
        <v>0</v>
      </c>
      <c r="AQ23" s="99">
        <v>0</v>
      </c>
      <c r="AR23" s="100">
        <v>0</v>
      </c>
      <c r="AS23" s="100">
        <v>0</v>
      </c>
      <c r="AT23" s="102">
        <v>0</v>
      </c>
      <c r="AU23" s="99">
        <v>0</v>
      </c>
      <c r="AV23" s="100">
        <v>0</v>
      </c>
      <c r="AW23" s="100">
        <v>0</v>
      </c>
      <c r="AX23" s="102">
        <v>0</v>
      </c>
      <c r="AY23" s="99">
        <v>0</v>
      </c>
      <c r="AZ23" s="100">
        <v>0</v>
      </c>
      <c r="BA23" s="100">
        <v>0</v>
      </c>
      <c r="BB23" s="102">
        <v>0</v>
      </c>
      <c r="BC23" s="99">
        <v>0</v>
      </c>
      <c r="BD23" s="100">
        <v>0</v>
      </c>
      <c r="BE23" s="100">
        <v>0</v>
      </c>
      <c r="BF23" s="101">
        <v>0</v>
      </c>
      <c r="BG23" s="99">
        <v>0</v>
      </c>
      <c r="BH23" s="100">
        <v>0</v>
      </c>
      <c r="BI23" s="100">
        <v>0</v>
      </c>
      <c r="BJ23" s="101">
        <v>0</v>
      </c>
      <c r="BK23" s="99">
        <v>1.1636000000000001E-2</v>
      </c>
      <c r="BL23" s="100">
        <v>720</v>
      </c>
      <c r="BM23" s="100">
        <v>15959.9</v>
      </c>
      <c r="BN23" s="101">
        <v>11491128</v>
      </c>
      <c r="BO23" s="99">
        <v>0</v>
      </c>
      <c r="BP23" s="100">
        <v>0</v>
      </c>
      <c r="BQ23" s="100">
        <v>0</v>
      </c>
      <c r="BR23" s="101">
        <v>0</v>
      </c>
      <c r="BS23" s="99">
        <v>0</v>
      </c>
      <c r="BT23" s="100">
        <v>0</v>
      </c>
      <c r="BU23" s="100">
        <v>0</v>
      </c>
      <c r="BV23" s="101">
        <v>0</v>
      </c>
    </row>
    <row r="24" spans="2:74" s="12" customFormat="1" ht="18" customHeight="1" thickBot="1">
      <c r="B24" s="12" t="e">
        <f t="shared" si="7"/>
        <v>#REF!</v>
      </c>
      <c r="C24" s="10" t="e">
        <f t="shared" si="0"/>
        <v>#REF!</v>
      </c>
      <c r="D24" s="12" t="e">
        <f t="shared" si="8"/>
        <v>#REF!</v>
      </c>
      <c r="E24" s="38" t="e">
        <f t="shared" si="3"/>
        <v>#REF!</v>
      </c>
      <c r="F24" s="39" t="e">
        <f>IF(H24=0,F16,H24)</f>
        <v>#REF!</v>
      </c>
      <c r="G24" s="33"/>
      <c r="H24" s="190"/>
      <c r="I24" s="34" t="s">
        <v>25</v>
      </c>
      <c r="K24" s="38"/>
      <c r="L24" s="41"/>
      <c r="M24" s="41"/>
      <c r="N24" s="42"/>
      <c r="O24" s="38" t="s">
        <v>55</v>
      </c>
      <c r="P24" s="48">
        <f t="shared" si="6"/>
        <v>3457017</v>
      </c>
      <c r="Q24" s="44">
        <f>VLOOKUP(P24,[1]A!D:G,3,FALSE)</f>
        <v>0</v>
      </c>
      <c r="R24" s="45" t="s">
        <v>56</v>
      </c>
      <c r="S24" s="99">
        <v>0</v>
      </c>
      <c r="T24" s="100">
        <v>0</v>
      </c>
      <c r="U24" s="100">
        <v>0</v>
      </c>
      <c r="V24" s="101">
        <v>0</v>
      </c>
      <c r="W24" s="99">
        <v>0</v>
      </c>
      <c r="X24" s="100">
        <v>0</v>
      </c>
      <c r="Y24" s="100">
        <v>0</v>
      </c>
      <c r="Z24" s="101">
        <v>0</v>
      </c>
      <c r="AA24" s="99">
        <v>0</v>
      </c>
      <c r="AB24" s="100">
        <v>0</v>
      </c>
      <c r="AC24" s="100">
        <v>0</v>
      </c>
      <c r="AD24" s="101">
        <v>0</v>
      </c>
      <c r="AE24" s="99">
        <v>0</v>
      </c>
      <c r="AF24" s="100">
        <v>0</v>
      </c>
      <c r="AG24" s="100">
        <v>0</v>
      </c>
      <c r="AH24" s="102">
        <v>0</v>
      </c>
      <c r="AI24" s="99">
        <v>0</v>
      </c>
      <c r="AJ24" s="100">
        <v>0</v>
      </c>
      <c r="AK24" s="100">
        <v>0</v>
      </c>
      <c r="AL24" s="102">
        <v>0</v>
      </c>
      <c r="AM24" s="99">
        <v>0</v>
      </c>
      <c r="AN24" s="100">
        <v>0</v>
      </c>
      <c r="AO24" s="100">
        <v>0</v>
      </c>
      <c r="AP24" s="102">
        <v>0</v>
      </c>
      <c r="AQ24" s="99">
        <v>0</v>
      </c>
      <c r="AR24" s="100">
        <v>0</v>
      </c>
      <c r="AS24" s="100">
        <v>0</v>
      </c>
      <c r="AT24" s="102">
        <v>0</v>
      </c>
      <c r="AU24" s="99">
        <v>0</v>
      </c>
      <c r="AV24" s="100">
        <v>0</v>
      </c>
      <c r="AW24" s="100">
        <v>0</v>
      </c>
      <c r="AX24" s="102">
        <v>0</v>
      </c>
      <c r="AY24" s="99">
        <v>0</v>
      </c>
      <c r="AZ24" s="100">
        <v>0</v>
      </c>
      <c r="BA24" s="100">
        <v>0</v>
      </c>
      <c r="BB24" s="102">
        <v>0</v>
      </c>
      <c r="BC24" s="99">
        <v>0</v>
      </c>
      <c r="BD24" s="100">
        <v>0</v>
      </c>
      <c r="BE24" s="100">
        <v>0</v>
      </c>
      <c r="BF24" s="101">
        <v>0</v>
      </c>
      <c r="BG24" s="99">
        <v>0</v>
      </c>
      <c r="BH24" s="100">
        <v>0</v>
      </c>
      <c r="BI24" s="100">
        <v>0</v>
      </c>
      <c r="BJ24" s="101">
        <v>0</v>
      </c>
      <c r="BK24" s="99">
        <v>0</v>
      </c>
      <c r="BL24" s="100">
        <v>0</v>
      </c>
      <c r="BM24" s="100">
        <v>0</v>
      </c>
      <c r="BN24" s="101">
        <v>0</v>
      </c>
      <c r="BO24" s="99">
        <v>0</v>
      </c>
      <c r="BP24" s="100">
        <v>0</v>
      </c>
      <c r="BQ24" s="100">
        <v>0</v>
      </c>
      <c r="BR24" s="101">
        <v>0</v>
      </c>
      <c r="BS24" s="99">
        <v>0</v>
      </c>
      <c r="BT24" s="100">
        <v>0</v>
      </c>
      <c r="BU24" s="100">
        <v>0</v>
      </c>
      <c r="BV24" s="101">
        <v>0</v>
      </c>
    </row>
    <row r="25" spans="2:74" s="12" customFormat="1" ht="15" thickBot="1">
      <c r="B25" s="12" t="e">
        <f t="shared" si="7"/>
        <v>#REF!</v>
      </c>
      <c r="C25" s="10" t="e">
        <f t="shared" si="0"/>
        <v>#REF!</v>
      </c>
      <c r="D25" s="12" t="e">
        <f t="shared" si="8"/>
        <v>#REF!</v>
      </c>
      <c r="E25" s="38" t="e">
        <f t="shared" si="3"/>
        <v>#REF!</v>
      </c>
      <c r="F25" s="39" t="e">
        <f>IF(H25=0,F18,H25)</f>
        <v>#REF!</v>
      </c>
      <c r="G25" s="33"/>
      <c r="H25" s="190"/>
      <c r="I25" s="34" t="s">
        <v>25</v>
      </c>
      <c r="K25" s="38"/>
      <c r="L25" s="41"/>
      <c r="M25" s="41"/>
      <c r="N25" s="42"/>
      <c r="O25" s="38" t="s">
        <v>57</v>
      </c>
      <c r="P25" s="48">
        <f t="shared" si="6"/>
        <v>3457031</v>
      </c>
      <c r="Q25" s="44" t="str">
        <f>VLOOKUP(P25,[1]A!D:G,3,FALSE)</f>
        <v>C/F</v>
      </c>
      <c r="R25" s="45" t="s">
        <v>58</v>
      </c>
      <c r="S25" s="99">
        <v>0</v>
      </c>
      <c r="T25" s="100">
        <v>0</v>
      </c>
      <c r="U25" s="100">
        <v>0</v>
      </c>
      <c r="V25" s="101">
        <v>0</v>
      </c>
      <c r="W25" s="99">
        <v>0</v>
      </c>
      <c r="X25" s="100">
        <v>0</v>
      </c>
      <c r="Y25" s="100">
        <v>0</v>
      </c>
      <c r="Z25" s="101">
        <v>0</v>
      </c>
      <c r="AA25" s="99">
        <v>0</v>
      </c>
      <c r="AB25" s="100">
        <v>0</v>
      </c>
      <c r="AC25" s="100">
        <v>0</v>
      </c>
      <c r="AD25" s="101">
        <v>0</v>
      </c>
      <c r="AE25" s="99">
        <v>0</v>
      </c>
      <c r="AF25" s="100">
        <v>0</v>
      </c>
      <c r="AG25" s="100">
        <v>0</v>
      </c>
      <c r="AH25" s="102">
        <v>0</v>
      </c>
      <c r="AI25" s="99">
        <v>0</v>
      </c>
      <c r="AJ25" s="100">
        <v>0</v>
      </c>
      <c r="AK25" s="100">
        <v>0</v>
      </c>
      <c r="AL25" s="102">
        <v>0</v>
      </c>
      <c r="AM25" s="99">
        <v>0</v>
      </c>
      <c r="AN25" s="100">
        <v>0</v>
      </c>
      <c r="AO25" s="100">
        <v>0</v>
      </c>
      <c r="AP25" s="102">
        <v>0</v>
      </c>
      <c r="AQ25" s="99">
        <v>0</v>
      </c>
      <c r="AR25" s="100">
        <v>0</v>
      </c>
      <c r="AS25" s="100">
        <v>0</v>
      </c>
      <c r="AT25" s="102">
        <v>0</v>
      </c>
      <c r="AU25" s="99">
        <v>0</v>
      </c>
      <c r="AV25" s="100">
        <v>0</v>
      </c>
      <c r="AW25" s="100">
        <v>0</v>
      </c>
      <c r="AX25" s="102">
        <v>0</v>
      </c>
      <c r="AY25" s="99">
        <v>0</v>
      </c>
      <c r="AZ25" s="100">
        <v>0</v>
      </c>
      <c r="BA25" s="100">
        <v>0</v>
      </c>
      <c r="BB25" s="102">
        <v>0</v>
      </c>
      <c r="BC25" s="99">
        <v>0</v>
      </c>
      <c r="BD25" s="100">
        <v>0</v>
      </c>
      <c r="BE25" s="100">
        <v>0</v>
      </c>
      <c r="BF25" s="101">
        <v>0</v>
      </c>
      <c r="BG25" s="99">
        <v>0</v>
      </c>
      <c r="BH25" s="100">
        <v>0</v>
      </c>
      <c r="BI25" s="100">
        <v>0</v>
      </c>
      <c r="BJ25" s="101">
        <v>0</v>
      </c>
      <c r="BK25" s="99">
        <v>0</v>
      </c>
      <c r="BL25" s="100">
        <v>0</v>
      </c>
      <c r="BM25" s="100">
        <v>0</v>
      </c>
      <c r="BN25" s="101">
        <v>0</v>
      </c>
      <c r="BO25" s="99">
        <v>0</v>
      </c>
      <c r="BP25" s="100">
        <v>0</v>
      </c>
      <c r="BQ25" s="100">
        <v>0</v>
      </c>
      <c r="BR25" s="101">
        <v>0</v>
      </c>
      <c r="BS25" s="99">
        <v>0</v>
      </c>
      <c r="BT25" s="100">
        <v>0</v>
      </c>
      <c r="BU25" s="100">
        <v>0</v>
      </c>
      <c r="BV25" s="101">
        <v>0</v>
      </c>
    </row>
    <row r="26" spans="2:74" s="12" customFormat="1" ht="15" thickBot="1">
      <c r="B26" s="12" t="e">
        <f t="shared" si="7"/>
        <v>#REF!</v>
      </c>
      <c r="C26" s="10" t="e">
        <f t="shared" si="0"/>
        <v>#REF!</v>
      </c>
      <c r="D26" s="12" t="e">
        <f t="shared" si="8"/>
        <v>#REF!</v>
      </c>
      <c r="E26" s="38" t="e">
        <f>IF(G26=0,E24,G26)</f>
        <v>#REF!</v>
      </c>
      <c r="F26" s="39" t="e">
        <f>IF(H26=0,F24,H26)</f>
        <v>#REF!</v>
      </c>
      <c r="G26" s="33"/>
      <c r="H26" s="190"/>
      <c r="I26" s="34" t="s">
        <v>25</v>
      </c>
      <c r="K26" s="38"/>
      <c r="L26" s="41"/>
      <c r="M26" s="41"/>
      <c r="N26" s="42"/>
      <c r="O26" s="38" t="s">
        <v>59</v>
      </c>
      <c r="P26" s="48">
        <f>+O26*1</f>
        <v>3457001</v>
      </c>
      <c r="Q26" s="44" t="str">
        <f>VLOOKUP(P26,[1]A!D:G,3,FALSE)</f>
        <v xml:space="preserve">C/F </v>
      </c>
      <c r="R26" s="45" t="s">
        <v>60</v>
      </c>
      <c r="S26" s="99">
        <v>0</v>
      </c>
      <c r="T26" s="100">
        <v>0</v>
      </c>
      <c r="U26" s="100">
        <v>0</v>
      </c>
      <c r="V26" s="101">
        <v>0</v>
      </c>
      <c r="W26" s="99">
        <v>0</v>
      </c>
      <c r="X26" s="100">
        <v>0</v>
      </c>
      <c r="Y26" s="100">
        <v>0</v>
      </c>
      <c r="Z26" s="101">
        <v>0</v>
      </c>
      <c r="AA26" s="99">
        <v>0</v>
      </c>
      <c r="AB26" s="100">
        <v>0</v>
      </c>
      <c r="AC26" s="100">
        <v>0</v>
      </c>
      <c r="AD26" s="101">
        <v>0</v>
      </c>
      <c r="AE26" s="99">
        <v>0</v>
      </c>
      <c r="AF26" s="100">
        <v>0</v>
      </c>
      <c r="AG26" s="100">
        <v>0</v>
      </c>
      <c r="AH26" s="102">
        <v>0</v>
      </c>
      <c r="AI26" s="99">
        <v>0</v>
      </c>
      <c r="AJ26" s="100">
        <v>0</v>
      </c>
      <c r="AK26" s="100">
        <v>0</v>
      </c>
      <c r="AL26" s="102">
        <v>0</v>
      </c>
      <c r="AM26" s="99">
        <v>0</v>
      </c>
      <c r="AN26" s="100">
        <v>0</v>
      </c>
      <c r="AO26" s="100">
        <v>0</v>
      </c>
      <c r="AP26" s="102">
        <v>0</v>
      </c>
      <c r="AQ26" s="99">
        <v>0</v>
      </c>
      <c r="AR26" s="100">
        <v>0</v>
      </c>
      <c r="AS26" s="100">
        <v>0</v>
      </c>
      <c r="AT26" s="102">
        <v>0</v>
      </c>
      <c r="AU26" s="99">
        <v>0</v>
      </c>
      <c r="AV26" s="100">
        <v>0</v>
      </c>
      <c r="AW26" s="100">
        <v>0</v>
      </c>
      <c r="AX26" s="102">
        <v>0</v>
      </c>
      <c r="AY26" s="99">
        <v>0</v>
      </c>
      <c r="AZ26" s="100">
        <v>0</v>
      </c>
      <c r="BA26" s="100">
        <v>0</v>
      </c>
      <c r="BB26" s="102">
        <v>0</v>
      </c>
      <c r="BC26" s="99">
        <v>0</v>
      </c>
      <c r="BD26" s="100">
        <v>0</v>
      </c>
      <c r="BE26" s="100">
        <v>0</v>
      </c>
      <c r="BF26" s="101">
        <v>0</v>
      </c>
      <c r="BG26" s="99">
        <v>0</v>
      </c>
      <c r="BH26" s="100">
        <v>0</v>
      </c>
      <c r="BI26" s="100">
        <v>0</v>
      </c>
      <c r="BJ26" s="101">
        <v>0</v>
      </c>
      <c r="BK26" s="99">
        <v>0</v>
      </c>
      <c r="BL26" s="100">
        <v>0</v>
      </c>
      <c r="BM26" s="100">
        <v>0</v>
      </c>
      <c r="BN26" s="101">
        <v>0</v>
      </c>
      <c r="BO26" s="99">
        <v>0</v>
      </c>
      <c r="BP26" s="100">
        <v>0</v>
      </c>
      <c r="BQ26" s="100">
        <v>0</v>
      </c>
      <c r="BR26" s="101">
        <v>0</v>
      </c>
      <c r="BS26" s="99">
        <v>0</v>
      </c>
      <c r="BT26" s="100">
        <v>0</v>
      </c>
      <c r="BU26" s="100">
        <v>0</v>
      </c>
      <c r="BV26" s="101">
        <v>0</v>
      </c>
    </row>
    <row r="27" spans="2:74" s="12" customFormat="1" ht="15" thickBot="1">
      <c r="B27" s="12" t="e">
        <f t="shared" si="7"/>
        <v>#REF!</v>
      </c>
      <c r="C27" s="10" t="e">
        <f t="shared" si="0"/>
        <v>#REF!</v>
      </c>
      <c r="D27" s="12" t="e">
        <f t="shared" si="8"/>
        <v>#REF!</v>
      </c>
      <c r="E27" s="38" t="e">
        <f>IF(G27=0,E25,G27)</f>
        <v>#REF!</v>
      </c>
      <c r="F27" s="39" t="e">
        <f>IF(H27=0,F25,H27)</f>
        <v>#REF!</v>
      </c>
      <c r="G27" s="33"/>
      <c r="H27" s="190"/>
      <c r="I27" s="34" t="s">
        <v>25</v>
      </c>
      <c r="K27" s="38"/>
      <c r="L27" s="41"/>
      <c r="M27" s="41"/>
      <c r="N27" s="42"/>
      <c r="O27" s="38" t="s">
        <v>61</v>
      </c>
      <c r="P27" s="48">
        <f t="shared" si="6"/>
        <v>3457041</v>
      </c>
      <c r="Q27" s="44" t="str">
        <f>VLOOKUP(P27,[1]A!D:G,3,FALSE)</f>
        <v xml:space="preserve">C/F </v>
      </c>
      <c r="R27" s="45" t="s">
        <v>62</v>
      </c>
      <c r="S27" s="99">
        <v>4.3343E-2</v>
      </c>
      <c r="T27" s="100">
        <v>8602</v>
      </c>
      <c r="U27" s="100">
        <v>9497.51</v>
      </c>
      <c r="V27" s="101">
        <v>81697596</v>
      </c>
      <c r="W27" s="99">
        <v>0</v>
      </c>
      <c r="X27" s="100">
        <v>0</v>
      </c>
      <c r="Y27" s="100">
        <v>0</v>
      </c>
      <c r="Z27" s="101">
        <v>0</v>
      </c>
      <c r="AA27" s="99">
        <v>0</v>
      </c>
      <c r="AB27" s="100">
        <v>0</v>
      </c>
      <c r="AC27" s="100">
        <v>0</v>
      </c>
      <c r="AD27" s="101">
        <v>0</v>
      </c>
      <c r="AE27" s="99">
        <v>0</v>
      </c>
      <c r="AF27" s="100">
        <v>0</v>
      </c>
      <c r="AG27" s="100">
        <v>0</v>
      </c>
      <c r="AH27" s="102">
        <v>0</v>
      </c>
      <c r="AI27" s="99">
        <v>3.9618E-2</v>
      </c>
      <c r="AJ27" s="100">
        <v>1307</v>
      </c>
      <c r="AK27" s="100">
        <v>9528.9739860000009</v>
      </c>
      <c r="AL27" s="102">
        <v>12454369</v>
      </c>
      <c r="AM27" s="99">
        <v>3.9795999999999998E-2</v>
      </c>
      <c r="AN27" s="100">
        <v>2986</v>
      </c>
      <c r="AO27" s="100">
        <v>9450.0117210000008</v>
      </c>
      <c r="AP27" s="102">
        <v>28217735</v>
      </c>
      <c r="AQ27" s="99">
        <v>4.0649999999999999E-2</v>
      </c>
      <c r="AR27" s="100">
        <v>1849</v>
      </c>
      <c r="AS27" s="100">
        <v>9450.0118980000007</v>
      </c>
      <c r="AT27" s="102">
        <v>17473072</v>
      </c>
      <c r="AU27" s="99">
        <v>4.0960000000000003E-2</v>
      </c>
      <c r="AV27" s="100">
        <v>2509</v>
      </c>
      <c r="AW27" s="100">
        <v>9466.1988839999995</v>
      </c>
      <c r="AX27" s="102">
        <v>23750693</v>
      </c>
      <c r="AY27" s="99">
        <v>3.9981000000000003E-2</v>
      </c>
      <c r="AZ27" s="100">
        <v>995</v>
      </c>
      <c r="BA27" s="100">
        <v>9591.9075369999991</v>
      </c>
      <c r="BB27" s="102">
        <v>9543948</v>
      </c>
      <c r="BC27" s="99">
        <v>3.9613000000000002E-2</v>
      </c>
      <c r="BD27" s="100">
        <v>2082</v>
      </c>
      <c r="BE27" s="100">
        <v>9688.8371750000006</v>
      </c>
      <c r="BF27" s="101">
        <v>20172159</v>
      </c>
      <c r="BG27" s="99">
        <v>0</v>
      </c>
      <c r="BH27" s="100">
        <v>0</v>
      </c>
      <c r="BI27" s="100">
        <v>0</v>
      </c>
      <c r="BJ27" s="101">
        <v>0</v>
      </c>
      <c r="BK27" s="99">
        <v>3.5845000000000002E-2</v>
      </c>
      <c r="BL27" s="100">
        <v>2218</v>
      </c>
      <c r="BM27" s="100">
        <v>9625.2583400000003</v>
      </c>
      <c r="BN27" s="101">
        <v>21348823</v>
      </c>
      <c r="BO27" s="99">
        <v>4.3227000000000002E-2</v>
      </c>
      <c r="BP27" s="100">
        <v>3494</v>
      </c>
      <c r="BQ27" s="100">
        <v>9625.2581559999999</v>
      </c>
      <c r="BR27" s="101">
        <v>33630652</v>
      </c>
      <c r="BS27" s="99">
        <v>4.0124E-2</v>
      </c>
      <c r="BT27" s="100">
        <v>5420</v>
      </c>
      <c r="BU27" s="100">
        <v>10020.492435</v>
      </c>
      <c r="BV27" s="101">
        <v>54311069</v>
      </c>
    </row>
    <row r="28" spans="2:74" s="12" customFormat="1" ht="15" thickBot="1">
      <c r="C28" s="10" t="e">
        <f t="shared" si="0"/>
        <v>#REF!</v>
      </c>
      <c r="E28" s="38" t="e">
        <f t="shared" si="3"/>
        <v>#REF!</v>
      </c>
      <c r="F28" s="39"/>
      <c r="G28" s="33"/>
      <c r="H28" s="190"/>
      <c r="I28" s="34" t="s">
        <v>25</v>
      </c>
      <c r="K28" s="38"/>
      <c r="L28" s="41"/>
      <c r="M28" s="41"/>
      <c r="N28" s="42"/>
      <c r="O28" s="38"/>
      <c r="P28" s="48"/>
      <c r="Q28" s="49">
        <f>VLOOKUP(P28,[1]A!D:G,3,FALSE)</f>
        <v>0</v>
      </c>
      <c r="R28" s="50" t="str">
        <f>+Q27</f>
        <v xml:space="preserve">C/F </v>
      </c>
      <c r="S28" s="107">
        <v>4.3610000000000003E-2</v>
      </c>
      <c r="T28" s="108">
        <v>8655</v>
      </c>
      <c r="U28" s="108">
        <v>9523.7298671288281</v>
      </c>
      <c r="V28" s="122">
        <v>82427882</v>
      </c>
      <c r="W28" s="107">
        <v>4.8050000000000002E-2</v>
      </c>
      <c r="X28" s="108">
        <v>2204</v>
      </c>
      <c r="Y28" s="108">
        <v>14373.569872958258</v>
      </c>
      <c r="Z28" s="122">
        <v>31679348</v>
      </c>
      <c r="AA28" s="107">
        <v>5.0473999999999998E-2</v>
      </c>
      <c r="AB28" s="108">
        <v>11251</v>
      </c>
      <c r="AC28" s="108">
        <v>14782.044440494179</v>
      </c>
      <c r="AD28" s="122">
        <v>166312782</v>
      </c>
      <c r="AE28" s="107">
        <v>0</v>
      </c>
      <c r="AF28" s="108">
        <v>0</v>
      </c>
      <c r="AG28" s="108">
        <v>0</v>
      </c>
      <c r="AH28" s="109">
        <v>0</v>
      </c>
      <c r="AI28" s="107">
        <v>3.9618E-2</v>
      </c>
      <c r="AJ28" s="108">
        <v>1307</v>
      </c>
      <c r="AK28" s="108">
        <v>9528.9739862280039</v>
      </c>
      <c r="AL28" s="109">
        <v>12454369</v>
      </c>
      <c r="AM28" s="107">
        <v>3.9795999999999998E-2</v>
      </c>
      <c r="AN28" s="108">
        <v>2986</v>
      </c>
      <c r="AO28" s="108">
        <v>9450.0117213663762</v>
      </c>
      <c r="AP28" s="109">
        <v>28217735</v>
      </c>
      <c r="AQ28" s="107">
        <v>4.0649999999999999E-2</v>
      </c>
      <c r="AR28" s="108">
        <v>1849</v>
      </c>
      <c r="AS28" s="108">
        <v>9450.0118983234188</v>
      </c>
      <c r="AT28" s="109">
        <v>17473072</v>
      </c>
      <c r="AU28" s="107">
        <v>4.0960000000000003E-2</v>
      </c>
      <c r="AV28" s="108">
        <v>2509</v>
      </c>
      <c r="AW28" s="108">
        <v>9466.1988840175363</v>
      </c>
      <c r="AX28" s="109">
        <v>23750693</v>
      </c>
      <c r="AY28" s="107">
        <v>3.9981000000000003E-2</v>
      </c>
      <c r="AZ28" s="108">
        <v>995</v>
      </c>
      <c r="BA28" s="108">
        <v>9591.907537688443</v>
      </c>
      <c r="BB28" s="109">
        <v>9543948</v>
      </c>
      <c r="BC28" s="107">
        <v>3.9613000000000002E-2</v>
      </c>
      <c r="BD28" s="108">
        <v>2082</v>
      </c>
      <c r="BE28" s="108">
        <v>9688.837175792507</v>
      </c>
      <c r="BF28" s="122">
        <v>20172159</v>
      </c>
      <c r="BG28" s="107">
        <v>0</v>
      </c>
      <c r="BH28" s="108">
        <v>0</v>
      </c>
      <c r="BI28" s="108">
        <v>0</v>
      </c>
      <c r="BJ28" s="122">
        <v>0</v>
      </c>
      <c r="BK28" s="107">
        <v>4.7481000000000002E-2</v>
      </c>
      <c r="BL28" s="108">
        <v>2938</v>
      </c>
      <c r="BM28" s="108">
        <v>11177.655207624233</v>
      </c>
      <c r="BN28" s="122">
        <v>32839951</v>
      </c>
      <c r="BO28" s="107">
        <v>4.3227000000000002E-2</v>
      </c>
      <c r="BP28" s="108">
        <v>3494</v>
      </c>
      <c r="BQ28" s="108">
        <v>9625.2581568402984</v>
      </c>
      <c r="BR28" s="122">
        <v>33630652</v>
      </c>
      <c r="BS28" s="107">
        <v>4.0124E-2</v>
      </c>
      <c r="BT28" s="108">
        <v>5420</v>
      </c>
      <c r="BU28" s="108">
        <v>10020.492435424354</v>
      </c>
      <c r="BV28" s="122">
        <v>54311069</v>
      </c>
    </row>
    <row r="29" spans="2:74" s="12" customFormat="1" ht="15" thickBot="1">
      <c r="B29" s="12" t="e">
        <f t="shared" ref="B29:B36" si="9">CONCATENATE(E29,O29)</f>
        <v>#REF!</v>
      </c>
      <c r="C29" s="10" t="e">
        <f t="shared" si="0"/>
        <v>#REF!</v>
      </c>
      <c r="D29" s="12" t="e">
        <f t="shared" ref="D29:D36" si="10">CONCATENATE(E29,R29)</f>
        <v>#REF!</v>
      </c>
      <c r="E29" s="38" t="e">
        <f t="shared" si="3"/>
        <v>#REF!</v>
      </c>
      <c r="F29" s="39" t="e">
        <f>IF(H29=0,F27,H29)</f>
        <v>#REF!</v>
      </c>
      <c r="G29" s="33"/>
      <c r="H29" s="190"/>
      <c r="I29" s="34" t="s">
        <v>25</v>
      </c>
      <c r="K29" s="38"/>
      <c r="L29" s="41"/>
      <c r="M29" s="41"/>
      <c r="N29" s="42"/>
      <c r="O29" s="38">
        <v>3459002</v>
      </c>
      <c r="P29" s="48">
        <f>+O29*1</f>
        <v>3459002</v>
      </c>
      <c r="Q29" s="44" t="str">
        <f>VLOOKUP(P29,[1]A!D:G,3,FALSE)</f>
        <v>G/F</v>
      </c>
      <c r="R29" s="45" t="s">
        <v>63</v>
      </c>
      <c r="S29" s="99">
        <v>0</v>
      </c>
      <c r="T29" s="100">
        <v>0</v>
      </c>
      <c r="U29" s="100">
        <v>0</v>
      </c>
      <c r="V29" s="101">
        <v>0</v>
      </c>
      <c r="W29" s="99">
        <v>0.12786400000000001</v>
      </c>
      <c r="X29" s="100">
        <v>5865</v>
      </c>
      <c r="Y29" s="100">
        <v>1577.02</v>
      </c>
      <c r="Z29" s="101">
        <v>9249238</v>
      </c>
      <c r="AA29" s="99">
        <v>5.3453000000000001E-2</v>
      </c>
      <c r="AB29" s="100">
        <v>11915</v>
      </c>
      <c r="AC29" s="100">
        <v>1596.641208</v>
      </c>
      <c r="AD29" s="101">
        <v>19023980</v>
      </c>
      <c r="AE29" s="99">
        <v>0</v>
      </c>
      <c r="AF29" s="100">
        <v>0</v>
      </c>
      <c r="AG29" s="100">
        <v>0</v>
      </c>
      <c r="AH29" s="102">
        <v>0</v>
      </c>
      <c r="AI29" s="99">
        <v>0.12906899999999999</v>
      </c>
      <c r="AJ29" s="100">
        <v>4258</v>
      </c>
      <c r="AK29" s="100">
        <v>1613.066932</v>
      </c>
      <c r="AL29" s="102">
        <v>6868439</v>
      </c>
      <c r="AM29" s="99">
        <v>0.10356899999999999</v>
      </c>
      <c r="AN29" s="100">
        <v>7771</v>
      </c>
      <c r="AO29" s="100">
        <v>1613.0669150000001</v>
      </c>
      <c r="AP29" s="102">
        <v>12535143</v>
      </c>
      <c r="AQ29" s="99">
        <v>0.100844</v>
      </c>
      <c r="AR29" s="100">
        <v>4587</v>
      </c>
      <c r="AS29" s="100">
        <v>1613.066928</v>
      </c>
      <c r="AT29" s="102">
        <v>7399138</v>
      </c>
      <c r="AU29" s="99">
        <v>0.10564</v>
      </c>
      <c r="AV29" s="100">
        <v>6471</v>
      </c>
      <c r="AW29" s="100">
        <v>1613.0669130000001</v>
      </c>
      <c r="AX29" s="102">
        <v>10438156</v>
      </c>
      <c r="AY29" s="99">
        <v>0.116205</v>
      </c>
      <c r="AZ29" s="100">
        <v>2892</v>
      </c>
      <c r="BA29" s="100">
        <v>1610.211272</v>
      </c>
      <c r="BB29" s="102">
        <v>4656731</v>
      </c>
      <c r="BC29" s="99">
        <v>0.108471</v>
      </c>
      <c r="BD29" s="100">
        <v>5701</v>
      </c>
      <c r="BE29" s="100">
        <v>1610.2111910000001</v>
      </c>
      <c r="BF29" s="101">
        <v>9179814</v>
      </c>
      <c r="BG29" s="99">
        <v>0</v>
      </c>
      <c r="BH29" s="100">
        <v>0</v>
      </c>
      <c r="BI29" s="100">
        <v>0</v>
      </c>
      <c r="BJ29" s="101">
        <v>0</v>
      </c>
      <c r="BK29" s="99">
        <v>0.1065</v>
      </c>
      <c r="BL29" s="100">
        <v>6590</v>
      </c>
      <c r="BM29" s="100">
        <v>1608.0053109999999</v>
      </c>
      <c r="BN29" s="101">
        <v>10596755</v>
      </c>
      <c r="BO29" s="99">
        <v>0.113646</v>
      </c>
      <c r="BP29" s="100">
        <v>9186</v>
      </c>
      <c r="BQ29" s="100">
        <v>1500</v>
      </c>
      <c r="BR29" s="101">
        <v>13779000</v>
      </c>
      <c r="BS29" s="99">
        <v>5.2650000000000002E-2</v>
      </c>
      <c r="BT29" s="100">
        <v>7112</v>
      </c>
      <c r="BU29" s="100">
        <v>1469.2109109999999</v>
      </c>
      <c r="BV29" s="101">
        <v>10449028</v>
      </c>
    </row>
    <row r="30" spans="2:74" s="12" customFormat="1" ht="15" thickBot="1">
      <c r="B30" s="12" t="e">
        <f t="shared" si="9"/>
        <v>#REF!</v>
      </c>
      <c r="C30" s="10" t="e">
        <f t="shared" si="0"/>
        <v>#REF!</v>
      </c>
      <c r="D30" s="12" t="e">
        <f t="shared" si="10"/>
        <v>#REF!</v>
      </c>
      <c r="E30" s="38" t="e">
        <f t="shared" si="3"/>
        <v>#REF!</v>
      </c>
      <c r="F30" s="39" t="e">
        <f>IF(H30=0,F27,H30)</f>
        <v>#REF!</v>
      </c>
      <c r="G30" s="33"/>
      <c r="H30" s="190"/>
      <c r="I30" s="34" t="s">
        <v>25</v>
      </c>
      <c r="K30" s="38"/>
      <c r="L30" s="41"/>
      <c r="M30" s="41"/>
      <c r="N30" s="42"/>
      <c r="O30" s="38" t="s">
        <v>64</v>
      </c>
      <c r="P30" s="48">
        <f t="shared" ref="P30:P36" si="11">+O30*1</f>
        <v>3459011</v>
      </c>
      <c r="Q30" s="44" t="str">
        <f>VLOOKUP(P30,[1]A!D:G,3,FALSE)</f>
        <v>G/F</v>
      </c>
      <c r="R30" s="45" t="s">
        <v>65</v>
      </c>
      <c r="S30" s="99">
        <v>0.12576499999999999</v>
      </c>
      <c r="T30" s="100">
        <v>24960</v>
      </c>
      <c r="U30" s="100">
        <v>1614.33</v>
      </c>
      <c r="V30" s="101">
        <v>40293559</v>
      </c>
      <c r="W30" s="99">
        <v>0</v>
      </c>
      <c r="X30" s="100">
        <v>0</v>
      </c>
      <c r="Y30" s="100">
        <v>0</v>
      </c>
      <c r="Z30" s="101">
        <v>0</v>
      </c>
      <c r="AA30" s="99">
        <v>0</v>
      </c>
      <c r="AB30" s="100">
        <v>0</v>
      </c>
      <c r="AC30" s="100">
        <v>0</v>
      </c>
      <c r="AD30" s="101">
        <v>0</v>
      </c>
      <c r="AE30" s="99">
        <v>0</v>
      </c>
      <c r="AF30" s="100">
        <v>0</v>
      </c>
      <c r="AG30" s="100">
        <v>0</v>
      </c>
      <c r="AH30" s="102">
        <v>0</v>
      </c>
      <c r="AI30" s="99">
        <v>0</v>
      </c>
      <c r="AJ30" s="100">
        <v>0</v>
      </c>
      <c r="AK30" s="100">
        <v>0</v>
      </c>
      <c r="AL30" s="102">
        <v>0</v>
      </c>
      <c r="AM30" s="99">
        <v>0</v>
      </c>
      <c r="AN30" s="100">
        <v>0</v>
      </c>
      <c r="AO30" s="100">
        <v>0</v>
      </c>
      <c r="AP30" s="102">
        <v>0</v>
      </c>
      <c r="AQ30" s="99">
        <v>0</v>
      </c>
      <c r="AR30" s="100">
        <v>0</v>
      </c>
      <c r="AS30" s="100">
        <v>0</v>
      </c>
      <c r="AT30" s="102">
        <v>0</v>
      </c>
      <c r="AU30" s="99">
        <v>0</v>
      </c>
      <c r="AV30" s="100">
        <v>0</v>
      </c>
      <c r="AW30" s="100">
        <v>0</v>
      </c>
      <c r="AX30" s="102">
        <v>0</v>
      </c>
      <c r="AY30" s="99">
        <v>0</v>
      </c>
      <c r="AZ30" s="100">
        <v>0</v>
      </c>
      <c r="BA30" s="100">
        <v>0</v>
      </c>
      <c r="BB30" s="102">
        <v>0</v>
      </c>
      <c r="BC30" s="99">
        <v>0</v>
      </c>
      <c r="BD30" s="100">
        <v>0</v>
      </c>
      <c r="BE30" s="100">
        <v>0</v>
      </c>
      <c r="BF30" s="101">
        <v>0</v>
      </c>
      <c r="BG30" s="99">
        <v>0</v>
      </c>
      <c r="BH30" s="100">
        <v>0</v>
      </c>
      <c r="BI30" s="100">
        <v>0</v>
      </c>
      <c r="BJ30" s="101">
        <v>0</v>
      </c>
      <c r="BK30" s="99">
        <v>0</v>
      </c>
      <c r="BL30" s="100">
        <v>0</v>
      </c>
      <c r="BM30" s="100">
        <v>0</v>
      </c>
      <c r="BN30" s="101">
        <v>0</v>
      </c>
      <c r="BO30" s="99">
        <v>0</v>
      </c>
      <c r="BP30" s="100">
        <v>0</v>
      </c>
      <c r="BQ30" s="100">
        <v>0</v>
      </c>
      <c r="BR30" s="101">
        <v>0</v>
      </c>
      <c r="BS30" s="99">
        <v>6.3664999999999999E-2</v>
      </c>
      <c r="BT30" s="100">
        <v>8600</v>
      </c>
      <c r="BU30" s="100">
        <v>1455.4336040000001</v>
      </c>
      <c r="BV30" s="101">
        <v>12516729</v>
      </c>
    </row>
    <row r="31" spans="2:74" s="12" customFormat="1" ht="15" thickBot="1">
      <c r="B31" s="12" t="e">
        <f t="shared" si="9"/>
        <v>#REF!</v>
      </c>
      <c r="C31" s="10" t="e">
        <f t="shared" si="0"/>
        <v>#REF!</v>
      </c>
      <c r="D31" s="12" t="e">
        <f t="shared" si="10"/>
        <v>#REF!</v>
      </c>
      <c r="E31" s="38" t="e">
        <f>IF(G31=0,E30,G31)</f>
        <v>#REF!</v>
      </c>
      <c r="F31" s="39" t="e">
        <f>IF(H31=0,F27,H31)</f>
        <v>#REF!</v>
      </c>
      <c r="G31" s="33"/>
      <c r="H31" s="190"/>
      <c r="I31" s="34" t="s">
        <v>25</v>
      </c>
      <c r="K31" s="38"/>
      <c r="L31" s="41"/>
      <c r="M31" s="41"/>
      <c r="N31" s="42"/>
      <c r="O31" s="38">
        <v>3459012</v>
      </c>
      <c r="P31" s="48">
        <f t="shared" si="11"/>
        <v>3459012</v>
      </c>
      <c r="Q31" s="44" t="str">
        <f>VLOOKUP(P31,[1]A!D:G,3,FALSE)</f>
        <v>G/F</v>
      </c>
      <c r="R31" s="45" t="s">
        <v>66</v>
      </c>
      <c r="S31" s="99">
        <v>0</v>
      </c>
      <c r="T31" s="100">
        <v>0</v>
      </c>
      <c r="U31" s="100">
        <v>0</v>
      </c>
      <c r="V31" s="101">
        <v>0</v>
      </c>
      <c r="W31" s="99">
        <v>0</v>
      </c>
      <c r="X31" s="100">
        <v>0</v>
      </c>
      <c r="Y31" s="100">
        <v>0</v>
      </c>
      <c r="Z31" s="101">
        <v>0</v>
      </c>
      <c r="AA31" s="99">
        <v>0</v>
      </c>
      <c r="AB31" s="100">
        <v>0</v>
      </c>
      <c r="AC31" s="100">
        <v>0</v>
      </c>
      <c r="AD31" s="101">
        <v>0</v>
      </c>
      <c r="AE31" s="99">
        <v>0</v>
      </c>
      <c r="AF31" s="100">
        <v>0</v>
      </c>
      <c r="AG31" s="100">
        <v>0</v>
      </c>
      <c r="AH31" s="102">
        <v>0</v>
      </c>
      <c r="AI31" s="99">
        <v>0</v>
      </c>
      <c r="AJ31" s="100">
        <v>0</v>
      </c>
      <c r="AK31" s="100">
        <v>0</v>
      </c>
      <c r="AL31" s="102">
        <v>0</v>
      </c>
      <c r="AM31" s="99">
        <v>0</v>
      </c>
      <c r="AN31" s="100">
        <v>0</v>
      </c>
      <c r="AO31" s="100">
        <v>0</v>
      </c>
      <c r="AP31" s="102">
        <v>0</v>
      </c>
      <c r="AQ31" s="99">
        <v>0</v>
      </c>
      <c r="AR31" s="100">
        <v>0</v>
      </c>
      <c r="AS31" s="100">
        <v>0</v>
      </c>
      <c r="AT31" s="102">
        <v>0</v>
      </c>
      <c r="AU31" s="99">
        <v>0</v>
      </c>
      <c r="AV31" s="100">
        <v>0</v>
      </c>
      <c r="AW31" s="100">
        <v>0</v>
      </c>
      <c r="AX31" s="102">
        <v>0</v>
      </c>
      <c r="AY31" s="99">
        <v>0</v>
      </c>
      <c r="AZ31" s="100">
        <v>0</v>
      </c>
      <c r="BA31" s="100">
        <v>0</v>
      </c>
      <c r="BB31" s="102">
        <v>0</v>
      </c>
      <c r="BC31" s="99">
        <v>0</v>
      </c>
      <c r="BD31" s="100">
        <v>0</v>
      </c>
      <c r="BE31" s="100">
        <v>0</v>
      </c>
      <c r="BF31" s="101">
        <v>0</v>
      </c>
      <c r="BG31" s="99">
        <v>0</v>
      </c>
      <c r="BH31" s="100">
        <v>0</v>
      </c>
      <c r="BI31" s="100">
        <v>0</v>
      </c>
      <c r="BJ31" s="101">
        <v>0</v>
      </c>
      <c r="BK31" s="99">
        <v>0</v>
      </c>
      <c r="BL31" s="100">
        <v>0</v>
      </c>
      <c r="BM31" s="100">
        <v>0</v>
      </c>
      <c r="BN31" s="101">
        <v>0</v>
      </c>
      <c r="BO31" s="99">
        <v>0</v>
      </c>
      <c r="BP31" s="100">
        <v>0</v>
      </c>
      <c r="BQ31" s="100">
        <v>0</v>
      </c>
      <c r="BR31" s="101">
        <v>0</v>
      </c>
      <c r="BS31" s="99">
        <v>0</v>
      </c>
      <c r="BT31" s="100">
        <v>0</v>
      </c>
      <c r="BU31" s="100">
        <v>0</v>
      </c>
      <c r="BV31" s="101">
        <v>0</v>
      </c>
    </row>
    <row r="32" spans="2:74" s="12" customFormat="1" ht="15" thickBot="1">
      <c r="B32" s="12" t="e">
        <f t="shared" si="9"/>
        <v>#REF!</v>
      </c>
      <c r="C32" s="10" t="e">
        <f t="shared" si="0"/>
        <v>#REF!</v>
      </c>
      <c r="D32" s="12" t="e">
        <f t="shared" si="10"/>
        <v>#REF!</v>
      </c>
      <c r="E32" s="38" t="e">
        <f t="shared" si="3"/>
        <v>#REF!</v>
      </c>
      <c r="F32" s="39" t="e">
        <f>IF(H32=0,F25,H32)</f>
        <v>#REF!</v>
      </c>
      <c r="G32" s="33"/>
      <c r="H32" s="190"/>
      <c r="I32" s="34" t="s">
        <v>25</v>
      </c>
      <c r="K32" s="38"/>
      <c r="L32" s="41"/>
      <c r="M32" s="41"/>
      <c r="N32" s="42"/>
      <c r="O32" s="38">
        <v>3459021</v>
      </c>
      <c r="P32" s="48">
        <f t="shared" si="11"/>
        <v>3459021</v>
      </c>
      <c r="Q32" s="44" t="str">
        <f>VLOOKUP(P32,[1]A!D:G,3,FALSE)</f>
        <v>G/F</v>
      </c>
      <c r="R32" s="45" t="s">
        <v>67</v>
      </c>
      <c r="S32" s="99">
        <v>0</v>
      </c>
      <c r="T32" s="100">
        <v>0</v>
      </c>
      <c r="U32" s="100">
        <v>0</v>
      </c>
      <c r="V32" s="101">
        <v>0</v>
      </c>
      <c r="W32" s="99">
        <v>0</v>
      </c>
      <c r="X32" s="100">
        <v>0</v>
      </c>
      <c r="Y32" s="100">
        <v>0</v>
      </c>
      <c r="Z32" s="101">
        <v>0</v>
      </c>
      <c r="AA32" s="99">
        <v>0</v>
      </c>
      <c r="AB32" s="100">
        <v>0</v>
      </c>
      <c r="AC32" s="100">
        <v>0</v>
      </c>
      <c r="AD32" s="101">
        <v>0</v>
      </c>
      <c r="AE32" s="99">
        <v>0</v>
      </c>
      <c r="AF32" s="100">
        <v>0</v>
      </c>
      <c r="AG32" s="100">
        <v>0</v>
      </c>
      <c r="AH32" s="102">
        <v>0</v>
      </c>
      <c r="AI32" s="99">
        <v>0</v>
      </c>
      <c r="AJ32" s="100">
        <v>0</v>
      </c>
      <c r="AK32" s="100">
        <v>0</v>
      </c>
      <c r="AL32" s="102">
        <v>0</v>
      </c>
      <c r="AM32" s="99">
        <v>0</v>
      </c>
      <c r="AN32" s="100">
        <v>0</v>
      </c>
      <c r="AO32" s="100">
        <v>0</v>
      </c>
      <c r="AP32" s="102">
        <v>0</v>
      </c>
      <c r="AQ32" s="99">
        <v>0</v>
      </c>
      <c r="AR32" s="100">
        <v>0</v>
      </c>
      <c r="AS32" s="100">
        <v>0</v>
      </c>
      <c r="AT32" s="102">
        <v>0</v>
      </c>
      <c r="AU32" s="99">
        <v>0</v>
      </c>
      <c r="AV32" s="100">
        <v>0</v>
      </c>
      <c r="AW32" s="100">
        <v>0</v>
      </c>
      <c r="AX32" s="102">
        <v>0</v>
      </c>
      <c r="AY32" s="99">
        <v>0</v>
      </c>
      <c r="AZ32" s="100">
        <v>0</v>
      </c>
      <c r="BA32" s="100">
        <v>0</v>
      </c>
      <c r="BB32" s="102">
        <v>0</v>
      </c>
      <c r="BC32" s="99">
        <v>0</v>
      </c>
      <c r="BD32" s="100">
        <v>0</v>
      </c>
      <c r="BE32" s="100">
        <v>0</v>
      </c>
      <c r="BF32" s="101">
        <v>0</v>
      </c>
      <c r="BG32" s="99">
        <v>0</v>
      </c>
      <c r="BH32" s="100">
        <v>0</v>
      </c>
      <c r="BI32" s="100">
        <v>0</v>
      </c>
      <c r="BJ32" s="101">
        <v>0</v>
      </c>
      <c r="BK32" s="99">
        <v>0</v>
      </c>
      <c r="BL32" s="100">
        <v>0</v>
      </c>
      <c r="BM32" s="100">
        <v>0</v>
      </c>
      <c r="BN32" s="101">
        <v>0</v>
      </c>
      <c r="BO32" s="99">
        <v>0</v>
      </c>
      <c r="BP32" s="100">
        <v>0</v>
      </c>
      <c r="BQ32" s="100">
        <v>0</v>
      </c>
      <c r="BR32" s="101">
        <v>0</v>
      </c>
      <c r="BS32" s="99">
        <v>0</v>
      </c>
      <c r="BT32" s="100">
        <v>0</v>
      </c>
      <c r="BU32" s="100">
        <v>0</v>
      </c>
      <c r="BV32" s="101">
        <v>0</v>
      </c>
    </row>
    <row r="33" spans="2:75" s="12" customFormat="1" ht="15" thickBot="1">
      <c r="B33" s="12" t="e">
        <f t="shared" si="9"/>
        <v>#REF!</v>
      </c>
      <c r="C33" s="10" t="e">
        <f t="shared" si="0"/>
        <v>#REF!</v>
      </c>
      <c r="D33" s="12" t="e">
        <f t="shared" si="10"/>
        <v>#REF!</v>
      </c>
      <c r="E33" s="38" t="e">
        <f t="shared" si="3"/>
        <v>#REF!</v>
      </c>
      <c r="F33" s="39" t="e">
        <f>IF(H33=0,F27,H33)</f>
        <v>#REF!</v>
      </c>
      <c r="G33" s="33"/>
      <c r="H33" s="190"/>
      <c r="I33" s="34" t="s">
        <v>25</v>
      </c>
      <c r="K33" s="38"/>
      <c r="L33" s="41"/>
      <c r="M33" s="41"/>
      <c r="N33" s="42"/>
      <c r="O33" s="38">
        <v>3459022</v>
      </c>
      <c r="P33" s="48">
        <f t="shared" si="11"/>
        <v>3459022</v>
      </c>
      <c r="Q33" s="44" t="str">
        <f>VLOOKUP(P33,[1]A!D:G,3,FALSE)</f>
        <v>G/F</v>
      </c>
      <c r="R33" s="45" t="s">
        <v>68</v>
      </c>
      <c r="S33" s="99">
        <v>0</v>
      </c>
      <c r="T33" s="100">
        <v>0</v>
      </c>
      <c r="U33" s="100">
        <v>0</v>
      </c>
      <c r="V33" s="101">
        <v>0</v>
      </c>
      <c r="W33" s="99">
        <v>0</v>
      </c>
      <c r="X33" s="100">
        <v>0</v>
      </c>
      <c r="Y33" s="100">
        <v>0</v>
      </c>
      <c r="Z33" s="101">
        <v>0</v>
      </c>
      <c r="AA33" s="99">
        <v>0</v>
      </c>
      <c r="AB33" s="100">
        <v>0</v>
      </c>
      <c r="AC33" s="100">
        <v>0</v>
      </c>
      <c r="AD33" s="101">
        <v>0</v>
      </c>
      <c r="AE33" s="99">
        <v>0</v>
      </c>
      <c r="AF33" s="100">
        <v>0</v>
      </c>
      <c r="AG33" s="100">
        <v>0</v>
      </c>
      <c r="AH33" s="102">
        <v>0</v>
      </c>
      <c r="AI33" s="99">
        <v>0</v>
      </c>
      <c r="AJ33" s="100">
        <v>0</v>
      </c>
      <c r="AK33" s="100">
        <v>0</v>
      </c>
      <c r="AL33" s="102">
        <v>0</v>
      </c>
      <c r="AM33" s="99">
        <v>0</v>
      </c>
      <c r="AN33" s="100">
        <v>0</v>
      </c>
      <c r="AO33" s="100">
        <v>0</v>
      </c>
      <c r="AP33" s="102">
        <v>0</v>
      </c>
      <c r="AQ33" s="99">
        <v>0</v>
      </c>
      <c r="AR33" s="100">
        <v>0</v>
      </c>
      <c r="AS33" s="100">
        <v>0</v>
      </c>
      <c r="AT33" s="102">
        <v>0</v>
      </c>
      <c r="AU33" s="99">
        <v>0</v>
      </c>
      <c r="AV33" s="100">
        <v>0</v>
      </c>
      <c r="AW33" s="100">
        <v>0</v>
      </c>
      <c r="AX33" s="102">
        <v>0</v>
      </c>
      <c r="AY33" s="99">
        <v>0</v>
      </c>
      <c r="AZ33" s="100">
        <v>0</v>
      </c>
      <c r="BA33" s="100">
        <v>0</v>
      </c>
      <c r="BB33" s="102">
        <v>0</v>
      </c>
      <c r="BC33" s="99">
        <v>0</v>
      </c>
      <c r="BD33" s="100">
        <v>0</v>
      </c>
      <c r="BE33" s="100">
        <v>0</v>
      </c>
      <c r="BF33" s="101">
        <v>0</v>
      </c>
      <c r="BG33" s="99">
        <v>0</v>
      </c>
      <c r="BH33" s="100">
        <v>0</v>
      </c>
      <c r="BI33" s="100">
        <v>0</v>
      </c>
      <c r="BJ33" s="101">
        <v>0</v>
      </c>
      <c r="BK33" s="99">
        <v>0</v>
      </c>
      <c r="BL33" s="100">
        <v>0</v>
      </c>
      <c r="BM33" s="100">
        <v>0</v>
      </c>
      <c r="BN33" s="101">
        <v>0</v>
      </c>
      <c r="BO33" s="99">
        <v>0</v>
      </c>
      <c r="BP33" s="100">
        <v>0</v>
      </c>
      <c r="BQ33" s="100">
        <v>0</v>
      </c>
      <c r="BR33" s="101">
        <v>0</v>
      </c>
      <c r="BS33" s="99">
        <v>0</v>
      </c>
      <c r="BT33" s="100">
        <v>0</v>
      </c>
      <c r="BU33" s="100">
        <v>0</v>
      </c>
      <c r="BV33" s="101">
        <v>0</v>
      </c>
    </row>
    <row r="34" spans="2:75" s="12" customFormat="1" ht="15" thickBot="1">
      <c r="B34" s="12" t="e">
        <f t="shared" si="9"/>
        <v>#REF!</v>
      </c>
      <c r="C34" s="10" t="e">
        <f t="shared" si="0"/>
        <v>#REF!</v>
      </c>
      <c r="D34" s="12" t="e">
        <f t="shared" si="10"/>
        <v>#REF!</v>
      </c>
      <c r="E34" s="38" t="e">
        <f>IF(G34=0,E32,G34)</f>
        <v>#REF!</v>
      </c>
      <c r="F34" s="39" t="e">
        <f>IF(H34=0,F33,H34)</f>
        <v>#REF!</v>
      </c>
      <c r="G34" s="33"/>
      <c r="H34" s="190"/>
      <c r="I34" s="34" t="s">
        <v>25</v>
      </c>
      <c r="K34" s="38"/>
      <c r="L34" s="41"/>
      <c r="M34" s="41"/>
      <c r="N34" s="42"/>
      <c r="O34" s="38" t="s">
        <v>69</v>
      </c>
      <c r="P34" s="48">
        <f t="shared" si="11"/>
        <v>3459029</v>
      </c>
      <c r="Q34" s="44" t="str">
        <f>VLOOKUP(P34,[1]A!D:G,3,FALSE)</f>
        <v xml:space="preserve">G/F </v>
      </c>
      <c r="R34" s="45" t="s">
        <v>70</v>
      </c>
      <c r="S34" s="99">
        <v>0</v>
      </c>
      <c r="T34" s="100">
        <v>0</v>
      </c>
      <c r="U34" s="100">
        <v>0</v>
      </c>
      <c r="V34" s="101">
        <v>0</v>
      </c>
      <c r="W34" s="99">
        <v>0</v>
      </c>
      <c r="X34" s="100">
        <v>0</v>
      </c>
      <c r="Y34" s="100">
        <v>0</v>
      </c>
      <c r="Z34" s="101">
        <v>0</v>
      </c>
      <c r="AA34" s="99">
        <v>7.8809000000000004E-2</v>
      </c>
      <c r="AB34" s="100">
        <v>17567</v>
      </c>
      <c r="AC34" s="100">
        <v>1639.1021800000001</v>
      </c>
      <c r="AD34" s="101">
        <v>28794108</v>
      </c>
      <c r="AE34" s="99">
        <v>0</v>
      </c>
      <c r="AF34" s="100">
        <v>0</v>
      </c>
      <c r="AG34" s="100">
        <v>0</v>
      </c>
      <c r="AH34" s="102">
        <v>0</v>
      </c>
      <c r="AI34" s="99">
        <v>0</v>
      </c>
      <c r="AJ34" s="100">
        <v>0</v>
      </c>
      <c r="AK34" s="100">
        <v>0</v>
      </c>
      <c r="AL34" s="102">
        <v>0</v>
      </c>
      <c r="AM34" s="99">
        <v>0</v>
      </c>
      <c r="AN34" s="100">
        <v>0</v>
      </c>
      <c r="AO34" s="100">
        <v>0</v>
      </c>
      <c r="AP34" s="102">
        <v>0</v>
      </c>
      <c r="AQ34" s="99">
        <v>0</v>
      </c>
      <c r="AR34" s="100">
        <v>0</v>
      </c>
      <c r="AS34" s="100">
        <v>0</v>
      </c>
      <c r="AT34" s="102">
        <v>0</v>
      </c>
      <c r="AU34" s="99">
        <v>0</v>
      </c>
      <c r="AV34" s="100">
        <v>0</v>
      </c>
      <c r="AW34" s="100">
        <v>0</v>
      </c>
      <c r="AX34" s="102">
        <v>0</v>
      </c>
      <c r="AY34" s="99">
        <v>0</v>
      </c>
      <c r="AZ34" s="100">
        <v>0</v>
      </c>
      <c r="BA34" s="100">
        <v>0</v>
      </c>
      <c r="BB34" s="102">
        <v>0</v>
      </c>
      <c r="BC34" s="99">
        <v>0</v>
      </c>
      <c r="BD34" s="100">
        <v>0</v>
      </c>
      <c r="BE34" s="100">
        <v>0</v>
      </c>
      <c r="BF34" s="101">
        <v>0</v>
      </c>
      <c r="BG34" s="99">
        <v>0</v>
      </c>
      <c r="BH34" s="100">
        <v>0</v>
      </c>
      <c r="BI34" s="100">
        <v>0</v>
      </c>
      <c r="BJ34" s="101">
        <v>0</v>
      </c>
      <c r="BK34" s="99">
        <v>0</v>
      </c>
      <c r="BL34" s="100">
        <v>0</v>
      </c>
      <c r="BM34" s="100">
        <v>0</v>
      </c>
      <c r="BN34" s="101">
        <v>0</v>
      </c>
      <c r="BO34" s="99">
        <v>0</v>
      </c>
      <c r="BP34" s="100">
        <v>0</v>
      </c>
      <c r="BQ34" s="100">
        <v>0</v>
      </c>
      <c r="BR34" s="101">
        <v>0</v>
      </c>
      <c r="BS34" s="99">
        <v>0</v>
      </c>
      <c r="BT34" s="100">
        <v>0</v>
      </c>
      <c r="BU34" s="100">
        <v>0</v>
      </c>
      <c r="BV34" s="101">
        <v>0</v>
      </c>
    </row>
    <row r="35" spans="2:75" s="12" customFormat="1" ht="15" thickBot="1">
      <c r="B35" s="12" t="e">
        <f t="shared" si="9"/>
        <v>#REF!</v>
      </c>
      <c r="C35" s="10" t="e">
        <f t="shared" si="0"/>
        <v>#REF!</v>
      </c>
      <c r="D35" s="12" t="e">
        <f t="shared" si="10"/>
        <v>#REF!</v>
      </c>
      <c r="E35" s="38" t="e">
        <f>IF(G35=0,E32,G35)</f>
        <v>#REF!</v>
      </c>
      <c r="F35" s="39" t="e">
        <f>IF(H35=0,F34,H35)</f>
        <v>#REF!</v>
      </c>
      <c r="G35" s="33"/>
      <c r="H35" s="190"/>
      <c r="I35" s="34" t="s">
        <v>25</v>
      </c>
      <c r="K35" s="38"/>
      <c r="L35" s="41"/>
      <c r="M35" s="41"/>
      <c r="N35" s="42"/>
      <c r="O35" s="38" t="s">
        <v>71</v>
      </c>
      <c r="P35" s="48">
        <f>+O35*1</f>
        <v>3459031</v>
      </c>
      <c r="Q35" s="44" t="str">
        <f>VLOOKUP(P35,[1]A!D:G,3,FALSE)</f>
        <v xml:space="preserve">G/F </v>
      </c>
      <c r="R35" s="45" t="s">
        <v>72</v>
      </c>
      <c r="S35" s="99">
        <v>0</v>
      </c>
      <c r="T35" s="100">
        <v>0</v>
      </c>
      <c r="U35" s="100">
        <v>0</v>
      </c>
      <c r="V35" s="101">
        <v>0</v>
      </c>
      <c r="W35" s="99">
        <v>0</v>
      </c>
      <c r="X35" s="100">
        <v>0</v>
      </c>
      <c r="Y35" s="100">
        <v>0</v>
      </c>
      <c r="Z35" s="101">
        <v>0</v>
      </c>
      <c r="AA35" s="99">
        <v>0</v>
      </c>
      <c r="AB35" s="100">
        <v>0</v>
      </c>
      <c r="AC35" s="100">
        <v>0</v>
      </c>
      <c r="AD35" s="101">
        <v>0</v>
      </c>
      <c r="AE35" s="99">
        <v>0</v>
      </c>
      <c r="AF35" s="100">
        <v>0</v>
      </c>
      <c r="AG35" s="100">
        <v>0</v>
      </c>
      <c r="AH35" s="102">
        <v>0</v>
      </c>
      <c r="AI35" s="99">
        <v>0</v>
      </c>
      <c r="AJ35" s="100">
        <v>0</v>
      </c>
      <c r="AK35" s="100">
        <v>0</v>
      </c>
      <c r="AL35" s="102">
        <v>0</v>
      </c>
      <c r="AM35" s="99">
        <v>0</v>
      </c>
      <c r="AN35" s="100">
        <v>0</v>
      </c>
      <c r="AO35" s="100">
        <v>0</v>
      </c>
      <c r="AP35" s="102">
        <v>0</v>
      </c>
      <c r="AQ35" s="99">
        <v>0</v>
      </c>
      <c r="AR35" s="100">
        <v>0</v>
      </c>
      <c r="AS35" s="100">
        <v>0</v>
      </c>
      <c r="AT35" s="102">
        <v>0</v>
      </c>
      <c r="AU35" s="99">
        <v>0</v>
      </c>
      <c r="AV35" s="100">
        <v>0</v>
      </c>
      <c r="AW35" s="100">
        <v>0</v>
      </c>
      <c r="AX35" s="102">
        <v>0</v>
      </c>
      <c r="AY35" s="99">
        <v>0</v>
      </c>
      <c r="AZ35" s="100">
        <v>0</v>
      </c>
      <c r="BA35" s="100">
        <v>0</v>
      </c>
      <c r="BB35" s="102">
        <v>0</v>
      </c>
      <c r="BC35" s="99">
        <v>0</v>
      </c>
      <c r="BD35" s="100">
        <v>0</v>
      </c>
      <c r="BE35" s="100">
        <v>0</v>
      </c>
      <c r="BF35" s="101">
        <v>0</v>
      </c>
      <c r="BG35" s="99">
        <v>0</v>
      </c>
      <c r="BH35" s="100">
        <v>0</v>
      </c>
      <c r="BI35" s="100">
        <v>0</v>
      </c>
      <c r="BJ35" s="101">
        <v>0</v>
      </c>
      <c r="BK35" s="99">
        <v>0</v>
      </c>
      <c r="BL35" s="100">
        <v>0</v>
      </c>
      <c r="BM35" s="100">
        <v>0</v>
      </c>
      <c r="BN35" s="101">
        <v>0</v>
      </c>
      <c r="BO35" s="99">
        <v>0</v>
      </c>
      <c r="BP35" s="100">
        <v>0</v>
      </c>
      <c r="BQ35" s="100">
        <v>0</v>
      </c>
      <c r="BR35" s="101">
        <v>0</v>
      </c>
      <c r="BS35" s="99">
        <v>0</v>
      </c>
      <c r="BT35" s="100">
        <v>0</v>
      </c>
      <c r="BU35" s="100">
        <v>0</v>
      </c>
      <c r="BV35" s="101">
        <v>0</v>
      </c>
    </row>
    <row r="36" spans="2:75" s="12" customFormat="1" ht="15" thickBot="1">
      <c r="B36" s="12" t="e">
        <f t="shared" si="9"/>
        <v>#REF!</v>
      </c>
      <c r="C36" s="10" t="e">
        <f t="shared" si="0"/>
        <v>#REF!</v>
      </c>
      <c r="D36" s="12" t="e">
        <f t="shared" si="10"/>
        <v>#REF!</v>
      </c>
      <c r="E36" s="38" t="e">
        <f>IF(G36=0,E33,G36)</f>
        <v>#REF!</v>
      </c>
      <c r="F36" s="39" t="e">
        <f>IF(H36=0,F35,H36)</f>
        <v>#REF!</v>
      </c>
      <c r="G36" s="33"/>
      <c r="H36" s="190"/>
      <c r="I36" s="34" t="s">
        <v>25</v>
      </c>
      <c r="K36" s="38"/>
      <c r="L36" s="41"/>
      <c r="M36" s="41"/>
      <c r="N36" s="42"/>
      <c r="O36" s="38">
        <v>3459032</v>
      </c>
      <c r="P36" s="48">
        <f t="shared" si="11"/>
        <v>3459032</v>
      </c>
      <c r="Q36" s="44" t="str">
        <f>VLOOKUP(P36,[1]A!D:G,3,FALSE)</f>
        <v>G/F</v>
      </c>
      <c r="R36" s="45" t="s">
        <v>73</v>
      </c>
      <c r="S36" s="99">
        <v>0</v>
      </c>
      <c r="T36" s="100">
        <v>0</v>
      </c>
      <c r="U36" s="100">
        <v>0</v>
      </c>
      <c r="V36" s="101">
        <v>0</v>
      </c>
      <c r="W36" s="99">
        <v>0</v>
      </c>
      <c r="X36" s="100">
        <v>0</v>
      </c>
      <c r="Y36" s="100">
        <v>0</v>
      </c>
      <c r="Z36" s="101">
        <v>0</v>
      </c>
      <c r="AA36" s="99">
        <v>0</v>
      </c>
      <c r="AB36" s="100">
        <v>0</v>
      </c>
      <c r="AC36" s="100">
        <v>0</v>
      </c>
      <c r="AD36" s="101">
        <v>0</v>
      </c>
      <c r="AE36" s="99">
        <v>0</v>
      </c>
      <c r="AF36" s="100">
        <v>0</v>
      </c>
      <c r="AG36" s="100">
        <v>0</v>
      </c>
      <c r="AH36" s="102">
        <v>0</v>
      </c>
      <c r="AI36" s="99">
        <v>0</v>
      </c>
      <c r="AJ36" s="100">
        <v>0</v>
      </c>
      <c r="AK36" s="100">
        <v>0</v>
      </c>
      <c r="AL36" s="102">
        <v>0</v>
      </c>
      <c r="AM36" s="99">
        <v>0</v>
      </c>
      <c r="AN36" s="100">
        <v>0</v>
      </c>
      <c r="AO36" s="100">
        <v>0</v>
      </c>
      <c r="AP36" s="102">
        <v>0</v>
      </c>
      <c r="AQ36" s="99">
        <v>0</v>
      </c>
      <c r="AR36" s="100">
        <v>0</v>
      </c>
      <c r="AS36" s="100">
        <v>0</v>
      </c>
      <c r="AT36" s="102">
        <v>0</v>
      </c>
      <c r="AU36" s="99">
        <v>0</v>
      </c>
      <c r="AV36" s="100">
        <v>0</v>
      </c>
      <c r="AW36" s="100">
        <v>0</v>
      </c>
      <c r="AX36" s="102">
        <v>0</v>
      </c>
      <c r="AY36" s="99">
        <v>0</v>
      </c>
      <c r="AZ36" s="100">
        <v>0</v>
      </c>
      <c r="BA36" s="100">
        <v>0</v>
      </c>
      <c r="BB36" s="102">
        <v>0</v>
      </c>
      <c r="BC36" s="99">
        <v>0</v>
      </c>
      <c r="BD36" s="100">
        <v>0</v>
      </c>
      <c r="BE36" s="100">
        <v>0</v>
      </c>
      <c r="BF36" s="101">
        <v>0</v>
      </c>
      <c r="BG36" s="99">
        <v>0</v>
      </c>
      <c r="BH36" s="100">
        <v>0</v>
      </c>
      <c r="BI36" s="100">
        <v>0</v>
      </c>
      <c r="BJ36" s="101">
        <v>0</v>
      </c>
      <c r="BK36" s="99">
        <v>0</v>
      </c>
      <c r="BL36" s="100">
        <v>0</v>
      </c>
      <c r="BM36" s="100">
        <v>0</v>
      </c>
      <c r="BN36" s="101">
        <v>0</v>
      </c>
      <c r="BO36" s="99">
        <v>0</v>
      </c>
      <c r="BP36" s="100">
        <v>0</v>
      </c>
      <c r="BQ36" s="100">
        <v>0</v>
      </c>
      <c r="BR36" s="101">
        <v>0</v>
      </c>
      <c r="BS36" s="99">
        <v>0</v>
      </c>
      <c r="BT36" s="100">
        <v>0</v>
      </c>
      <c r="BU36" s="100">
        <v>0</v>
      </c>
      <c r="BV36" s="101">
        <v>0</v>
      </c>
    </row>
    <row r="37" spans="2:75" s="12" customFormat="1" ht="15" thickBot="1">
      <c r="C37" s="10" t="e">
        <f t="shared" si="0"/>
        <v>#REF!</v>
      </c>
      <c r="E37" s="38" t="e">
        <f t="shared" si="3"/>
        <v>#REF!</v>
      </c>
      <c r="F37" s="57"/>
      <c r="G37" s="33"/>
      <c r="H37" s="190"/>
      <c r="I37" s="34" t="s">
        <v>25</v>
      </c>
      <c r="K37" s="38"/>
      <c r="L37" s="41"/>
      <c r="M37" s="41"/>
      <c r="N37" s="42"/>
      <c r="O37" s="38"/>
      <c r="P37" s="48"/>
      <c r="Q37" s="49">
        <f>VLOOKUP(P37,[1]A!D:G,3,FALSE)</f>
        <v>0</v>
      </c>
      <c r="R37" s="50" t="str">
        <f>+Q33</f>
        <v>G/F</v>
      </c>
      <c r="S37" s="107">
        <v>0.12576499999999999</v>
      </c>
      <c r="T37" s="108">
        <v>24960</v>
      </c>
      <c r="U37" s="108">
        <v>1614.3252804487179</v>
      </c>
      <c r="V37" s="122">
        <v>40293559</v>
      </c>
      <c r="W37" s="107">
        <v>0.12786400000000001</v>
      </c>
      <c r="X37" s="108">
        <v>5865</v>
      </c>
      <c r="Y37" s="108">
        <v>1577.0226768968457</v>
      </c>
      <c r="Z37" s="122">
        <v>9249238</v>
      </c>
      <c r="AA37" s="107">
        <v>0.13226199999999999</v>
      </c>
      <c r="AB37" s="108">
        <v>29482</v>
      </c>
      <c r="AC37" s="108">
        <v>1621.9417949935553</v>
      </c>
      <c r="AD37" s="122">
        <v>47818088</v>
      </c>
      <c r="AE37" s="107">
        <v>0</v>
      </c>
      <c r="AF37" s="108">
        <v>0</v>
      </c>
      <c r="AG37" s="108">
        <v>0</v>
      </c>
      <c r="AH37" s="109">
        <v>0</v>
      </c>
      <c r="AI37" s="107">
        <v>0.12906899999999999</v>
      </c>
      <c r="AJ37" s="108">
        <v>4258</v>
      </c>
      <c r="AK37" s="108">
        <v>1613.0669328323156</v>
      </c>
      <c r="AL37" s="109">
        <v>6868439</v>
      </c>
      <c r="AM37" s="107">
        <v>0.10356899999999999</v>
      </c>
      <c r="AN37" s="108">
        <v>7771</v>
      </c>
      <c r="AO37" s="108">
        <v>1613.0669154548964</v>
      </c>
      <c r="AP37" s="109">
        <v>12535143</v>
      </c>
      <c r="AQ37" s="107">
        <v>0.100844</v>
      </c>
      <c r="AR37" s="108">
        <v>4587</v>
      </c>
      <c r="AS37" s="108">
        <v>1613.0669282755614</v>
      </c>
      <c r="AT37" s="109">
        <v>7399138</v>
      </c>
      <c r="AU37" s="107">
        <v>0.10564</v>
      </c>
      <c r="AV37" s="108">
        <v>6471</v>
      </c>
      <c r="AW37" s="108">
        <v>1613.0669139236595</v>
      </c>
      <c r="AX37" s="109">
        <v>10438156</v>
      </c>
      <c r="AY37" s="107">
        <v>0.116205</v>
      </c>
      <c r="AZ37" s="108">
        <v>2892</v>
      </c>
      <c r="BA37" s="108">
        <v>1610.2112724757953</v>
      </c>
      <c r="BB37" s="109">
        <v>4656731</v>
      </c>
      <c r="BC37" s="107">
        <v>0.108471</v>
      </c>
      <c r="BD37" s="108">
        <v>5701</v>
      </c>
      <c r="BE37" s="108">
        <v>1610.2111910191195</v>
      </c>
      <c r="BF37" s="122">
        <v>9179814</v>
      </c>
      <c r="BG37" s="107">
        <v>0</v>
      </c>
      <c r="BH37" s="108">
        <v>0</v>
      </c>
      <c r="BI37" s="108">
        <v>0</v>
      </c>
      <c r="BJ37" s="122">
        <v>0</v>
      </c>
      <c r="BK37" s="107">
        <v>0.1065</v>
      </c>
      <c r="BL37" s="108">
        <v>6590</v>
      </c>
      <c r="BM37" s="108">
        <v>1608.0053110773899</v>
      </c>
      <c r="BN37" s="122">
        <v>10596755</v>
      </c>
      <c r="BO37" s="107">
        <v>0.113646</v>
      </c>
      <c r="BP37" s="108">
        <v>9186</v>
      </c>
      <c r="BQ37" s="108">
        <v>1500</v>
      </c>
      <c r="BR37" s="122">
        <v>13779000</v>
      </c>
      <c r="BS37" s="107">
        <v>0.116315</v>
      </c>
      <c r="BT37" s="108">
        <v>15712</v>
      </c>
      <c r="BU37" s="108">
        <v>1461.6698701629327</v>
      </c>
      <c r="BV37" s="122">
        <v>22965757</v>
      </c>
    </row>
    <row r="38" spans="2:75" s="137" customFormat="1" ht="15" thickBot="1">
      <c r="B38" s="160" t="str">
        <f>CONCATENATE(E38,O38)</f>
        <v>1103067</v>
      </c>
      <c r="C38" s="10" t="str">
        <f t="shared" si="0"/>
        <v>1103067생산투입</v>
      </c>
      <c r="D38" s="12" t="str">
        <f>CONCATENATE(E38,R38)</f>
        <v>1103067생산투입</v>
      </c>
      <c r="E38" s="153" t="s">
        <v>74</v>
      </c>
      <c r="F38" s="141" t="e">
        <f>CONCATENATE(F29,R38)</f>
        <v>#REF!</v>
      </c>
      <c r="G38" s="33"/>
      <c r="H38" s="190"/>
      <c r="I38" s="34" t="s">
        <v>25</v>
      </c>
      <c r="J38" s="61"/>
      <c r="K38" s="59"/>
      <c r="L38" s="62"/>
      <c r="M38" s="62"/>
      <c r="N38" s="63"/>
      <c r="O38" s="59"/>
      <c r="P38" s="64">
        <f t="shared" ref="P38:P47" si="12">+O38*1</f>
        <v>0</v>
      </c>
      <c r="Q38" s="65">
        <f>VLOOKUP(P38,[1]A!D:G,3,FALSE)</f>
        <v>0</v>
      </c>
      <c r="R38" s="66" t="s">
        <v>75</v>
      </c>
      <c r="S38" s="111">
        <v>0.99999999999999989</v>
      </c>
      <c r="T38" s="112">
        <v>198465</v>
      </c>
      <c r="U38" s="112">
        <v>2487.8509258559443</v>
      </c>
      <c r="V38" s="113">
        <v>493751334</v>
      </c>
      <c r="W38" s="111">
        <v>0.9999990000000003</v>
      </c>
      <c r="X38" s="112">
        <v>45869</v>
      </c>
      <c r="Y38" s="112">
        <v>2752.0013298742069</v>
      </c>
      <c r="Z38" s="113">
        <v>126231549</v>
      </c>
      <c r="AA38" s="111">
        <v>0.99999899999999964</v>
      </c>
      <c r="AB38" s="112">
        <v>222907</v>
      </c>
      <c r="AC38" s="112">
        <v>2837.8599999102767</v>
      </c>
      <c r="AD38" s="113">
        <v>632578859</v>
      </c>
      <c r="AE38" s="111">
        <v>0</v>
      </c>
      <c r="AF38" s="112">
        <v>0</v>
      </c>
      <c r="AG38" s="112">
        <v>0</v>
      </c>
      <c r="AH38" s="114">
        <v>0</v>
      </c>
      <c r="AI38" s="111">
        <v>0.99999899999999964</v>
      </c>
      <c r="AJ38" s="112">
        <v>32990</v>
      </c>
      <c r="AK38" s="112">
        <v>2582.0113973931493</v>
      </c>
      <c r="AL38" s="114">
        <v>85180556</v>
      </c>
      <c r="AM38" s="111">
        <v>0.99999899999999964</v>
      </c>
      <c r="AN38" s="112">
        <v>75032</v>
      </c>
      <c r="AO38" s="112">
        <v>2634.2984326687279</v>
      </c>
      <c r="AP38" s="114">
        <v>197656680</v>
      </c>
      <c r="AQ38" s="111">
        <v>1.0000000000000002</v>
      </c>
      <c r="AR38" s="112">
        <v>45486</v>
      </c>
      <c r="AS38" s="112">
        <v>2678.0300971727565</v>
      </c>
      <c r="AT38" s="114">
        <v>121812877</v>
      </c>
      <c r="AU38" s="111">
        <v>0.99999900000000008</v>
      </c>
      <c r="AV38" s="112">
        <v>61255</v>
      </c>
      <c r="AW38" s="112">
        <v>2692.9250999918372</v>
      </c>
      <c r="AX38" s="114">
        <v>164955127</v>
      </c>
      <c r="AY38" s="111">
        <v>1.0000010000000001</v>
      </c>
      <c r="AZ38" s="112">
        <v>24887</v>
      </c>
      <c r="BA38" s="112">
        <v>2702.6670952706231</v>
      </c>
      <c r="BB38" s="114">
        <v>67261276</v>
      </c>
      <c r="BC38" s="111">
        <v>1.0000009999999999</v>
      </c>
      <c r="BD38" s="112">
        <v>52558</v>
      </c>
      <c r="BE38" s="112">
        <v>2727.6244720118725</v>
      </c>
      <c r="BF38" s="113">
        <v>143358487</v>
      </c>
      <c r="BG38" s="111">
        <v>0</v>
      </c>
      <c r="BH38" s="112">
        <v>0</v>
      </c>
      <c r="BI38" s="112">
        <v>0</v>
      </c>
      <c r="BJ38" s="113">
        <v>0</v>
      </c>
      <c r="BK38" s="111">
        <v>1.0000009999999997</v>
      </c>
      <c r="BL38" s="112">
        <v>61878</v>
      </c>
      <c r="BM38" s="112">
        <v>2760.6958046478553</v>
      </c>
      <c r="BN38" s="113">
        <v>170826335</v>
      </c>
      <c r="BO38" s="111">
        <v>0.99999999999999978</v>
      </c>
      <c r="BP38" s="112">
        <v>80830</v>
      </c>
      <c r="BQ38" s="112">
        <v>2606.154657924038</v>
      </c>
      <c r="BR38" s="113">
        <v>210655481</v>
      </c>
      <c r="BS38" s="111">
        <v>1.0000000000000004</v>
      </c>
      <c r="BT38" s="112">
        <v>135082</v>
      </c>
      <c r="BU38" s="112">
        <v>2531.8242548970256</v>
      </c>
      <c r="BV38" s="113">
        <v>342003884</v>
      </c>
      <c r="BW38" s="67"/>
    </row>
    <row r="39" spans="2:75" s="137" customFormat="1" ht="15" thickBot="1">
      <c r="B39" s="139"/>
      <c r="C39" s="10"/>
      <c r="D39" s="12"/>
      <c r="E39" s="38"/>
      <c r="G39" s="33"/>
      <c r="H39" s="190"/>
      <c r="I39" s="34" t="s">
        <v>25</v>
      </c>
      <c r="J39" s="68"/>
      <c r="K39" s="69"/>
      <c r="L39" s="70"/>
      <c r="M39" s="70"/>
      <c r="N39" s="71"/>
      <c r="O39" s="69"/>
      <c r="P39" s="72"/>
      <c r="Q39" s="73"/>
      <c r="R39" s="74" t="s">
        <v>76</v>
      </c>
      <c r="S39" s="115"/>
      <c r="T39" s="116"/>
      <c r="U39" s="116"/>
      <c r="V39" s="117"/>
      <c r="W39" s="115"/>
      <c r="X39" s="116"/>
      <c r="Y39" s="116"/>
      <c r="Z39" s="117"/>
      <c r="AA39" s="115"/>
      <c r="AB39" s="116"/>
      <c r="AC39" s="116"/>
      <c r="AD39" s="117"/>
      <c r="AE39" s="115"/>
      <c r="AF39" s="116"/>
      <c r="AG39" s="116"/>
      <c r="AH39" s="118"/>
      <c r="AI39" s="115"/>
      <c r="AJ39" s="116"/>
      <c r="AK39" s="116"/>
      <c r="AL39" s="118"/>
      <c r="AM39" s="115"/>
      <c r="AN39" s="116"/>
      <c r="AO39" s="116"/>
      <c r="AP39" s="118"/>
      <c r="AQ39" s="115"/>
      <c r="AR39" s="116"/>
      <c r="AS39" s="116"/>
      <c r="AT39" s="118"/>
      <c r="AU39" s="115"/>
      <c r="AV39" s="116"/>
      <c r="AW39" s="116"/>
      <c r="AX39" s="118"/>
      <c r="AY39" s="115"/>
      <c r="AZ39" s="116">
        <v>1008</v>
      </c>
      <c r="BA39" s="116">
        <v>2521.8729450000001</v>
      </c>
      <c r="BB39" s="118">
        <v>2542048</v>
      </c>
      <c r="BC39" s="115"/>
      <c r="BD39" s="116"/>
      <c r="BE39" s="116"/>
      <c r="BF39" s="117"/>
      <c r="BG39" s="115"/>
      <c r="BH39" s="116"/>
      <c r="BI39" s="116"/>
      <c r="BJ39" s="117"/>
      <c r="BK39" s="115"/>
      <c r="BL39" s="116"/>
      <c r="BM39" s="116"/>
      <c r="BN39" s="117"/>
      <c r="BO39" s="115"/>
      <c r="BP39" s="116"/>
      <c r="BQ39" s="116"/>
      <c r="BR39" s="117"/>
      <c r="BS39" s="115"/>
      <c r="BT39" s="116"/>
      <c r="BU39" s="116"/>
      <c r="BV39" s="117"/>
    </row>
    <row r="40" spans="2:75" s="137" customFormat="1" ht="15" thickBot="1">
      <c r="B40" s="139"/>
      <c r="C40" s="10" t="str">
        <f t="shared" ref="C40:C74" si="13">CONCATENATE(E40,R40)</f>
        <v>1103067Loss</v>
      </c>
      <c r="D40" s="12" t="str">
        <f t="shared" ref="D40:D47" si="14">CONCATENATE(E40,R40)</f>
        <v>1103067Loss</v>
      </c>
      <c r="E40" s="38" t="str">
        <f>IF(G40=0,E38,G40)</f>
        <v>1103067</v>
      </c>
      <c r="F40" s="78"/>
      <c r="G40" s="33"/>
      <c r="H40" s="190"/>
      <c r="I40" s="34" t="s">
        <v>25</v>
      </c>
      <c r="J40" s="68"/>
      <c r="K40" s="69"/>
      <c r="L40" s="70"/>
      <c r="M40" s="70"/>
      <c r="N40" s="71"/>
      <c r="O40" s="69"/>
      <c r="P40" s="48">
        <f t="shared" si="12"/>
        <v>0</v>
      </c>
      <c r="Q40" s="73">
        <f>VLOOKUP(P40,[1]A!D:G,3,FALSE)</f>
        <v>0</v>
      </c>
      <c r="R40" s="74" t="s">
        <v>77</v>
      </c>
      <c r="S40" s="76">
        <v>1.7333031013024965E-2</v>
      </c>
      <c r="T40" s="75">
        <v>3440</v>
      </c>
      <c r="U40" s="75">
        <v>2487.8511627906978</v>
      </c>
      <c r="V40" s="77">
        <v>8558208</v>
      </c>
      <c r="W40" s="76">
        <v>1.8269419433604394E-2</v>
      </c>
      <c r="X40" s="75">
        <v>838</v>
      </c>
      <c r="Y40" s="75">
        <v>2752.0011933174223</v>
      </c>
      <c r="Z40" s="77">
        <v>2306177</v>
      </c>
      <c r="AA40" s="76">
        <v>1.6540530355708884E-2</v>
      </c>
      <c r="AB40" s="75">
        <v>3687</v>
      </c>
      <c r="AC40" s="75">
        <v>2837.8605912666126</v>
      </c>
      <c r="AD40" s="77">
        <v>10463192</v>
      </c>
      <c r="AE40" s="76">
        <v>0</v>
      </c>
      <c r="AF40" s="75">
        <v>0</v>
      </c>
      <c r="AG40" s="75">
        <v>0</v>
      </c>
      <c r="AH40" s="119">
        <v>0</v>
      </c>
      <c r="AI40" s="76">
        <v>1.7399211882388601E-2</v>
      </c>
      <c r="AJ40" s="75">
        <v>574</v>
      </c>
      <c r="AK40" s="75">
        <v>2582.0104529616724</v>
      </c>
      <c r="AL40" s="119">
        <v>1482074</v>
      </c>
      <c r="AM40" s="76">
        <v>1.7179336816291715E-2</v>
      </c>
      <c r="AN40" s="75">
        <v>1289</v>
      </c>
      <c r="AO40" s="75">
        <v>2634.2971295577968</v>
      </c>
      <c r="AP40" s="119">
        <v>3395609</v>
      </c>
      <c r="AQ40" s="76">
        <v>1.5938970232599041E-2</v>
      </c>
      <c r="AR40" s="75">
        <v>725</v>
      </c>
      <c r="AS40" s="75">
        <v>2678.0303448275863</v>
      </c>
      <c r="AT40" s="119">
        <v>1941572</v>
      </c>
      <c r="AU40" s="76">
        <v>1.6161945963594809E-2</v>
      </c>
      <c r="AV40" s="75">
        <v>990</v>
      </c>
      <c r="AW40" s="75">
        <v>2692.9252525252527</v>
      </c>
      <c r="AX40" s="119">
        <v>2665996</v>
      </c>
      <c r="AY40" s="76">
        <v>1.6876280789167034E-2</v>
      </c>
      <c r="AZ40" s="75">
        <v>420</v>
      </c>
      <c r="BA40" s="75">
        <v>2702.6642857142856</v>
      </c>
      <c r="BB40" s="119">
        <v>1135119</v>
      </c>
      <c r="BC40" s="76">
        <v>1.714296586628106E-2</v>
      </c>
      <c r="BD40" s="75">
        <v>901</v>
      </c>
      <c r="BE40" s="75">
        <v>2727.6226415094338</v>
      </c>
      <c r="BF40" s="77">
        <v>2457588</v>
      </c>
      <c r="BG40" s="76">
        <v>0</v>
      </c>
      <c r="BH40" s="75">
        <v>0</v>
      </c>
      <c r="BI40" s="75">
        <v>0</v>
      </c>
      <c r="BJ40" s="77">
        <v>0</v>
      </c>
      <c r="BK40" s="76">
        <v>1.6645657584278741E-2</v>
      </c>
      <c r="BL40" s="75">
        <v>1030</v>
      </c>
      <c r="BM40" s="75">
        <v>2760.6961165048542</v>
      </c>
      <c r="BN40" s="77">
        <v>2843517</v>
      </c>
      <c r="BO40" s="76">
        <v>1.6454286774712359E-2</v>
      </c>
      <c r="BP40" s="75">
        <v>1330</v>
      </c>
      <c r="BQ40" s="75">
        <v>2606.1541353383459</v>
      </c>
      <c r="BR40" s="77">
        <v>3466185</v>
      </c>
      <c r="BS40" s="76">
        <v>1.4302423713003953E-2</v>
      </c>
      <c r="BT40" s="75">
        <v>1932</v>
      </c>
      <c r="BU40" s="75">
        <v>2531.8240165631469</v>
      </c>
      <c r="BV40" s="77">
        <v>4891484</v>
      </c>
    </row>
    <row r="41" spans="2:75" s="137" customFormat="1" ht="15" thickBot="1">
      <c r="B41" s="139"/>
      <c r="C41" s="10" t="str">
        <f t="shared" si="13"/>
        <v>1103067출고</v>
      </c>
      <c r="D41" s="12" t="str">
        <f t="shared" si="14"/>
        <v>1103067출고</v>
      </c>
      <c r="E41" s="38" t="str">
        <f t="shared" si="3"/>
        <v>1103067</v>
      </c>
      <c r="F41" s="78" t="s">
        <v>25</v>
      </c>
      <c r="G41" s="33"/>
      <c r="H41" s="190"/>
      <c r="I41" s="34" t="s">
        <v>25</v>
      </c>
      <c r="J41" s="68"/>
      <c r="K41" s="69"/>
      <c r="L41" s="70"/>
      <c r="M41" s="70"/>
      <c r="N41" s="71"/>
      <c r="O41" s="69"/>
      <c r="P41" s="48">
        <f t="shared" si="12"/>
        <v>0</v>
      </c>
      <c r="Q41" s="73">
        <f>VLOOKUP(P41,[1]A!D:G,3,FALSE)</f>
        <v>0</v>
      </c>
      <c r="R41" s="74" t="s">
        <v>78</v>
      </c>
      <c r="S41" s="76"/>
      <c r="T41" s="75">
        <v>200000</v>
      </c>
      <c r="U41" s="75">
        <v>2497.8775099999998</v>
      </c>
      <c r="V41" s="77">
        <v>499575502</v>
      </c>
      <c r="W41" s="76"/>
      <c r="X41" s="75">
        <v>80000</v>
      </c>
      <c r="Y41" s="75">
        <v>2592.0208499999999</v>
      </c>
      <c r="Z41" s="77">
        <v>207361668</v>
      </c>
      <c r="AA41" s="76"/>
      <c r="AB41" s="75">
        <v>200000</v>
      </c>
      <c r="AC41" s="75">
        <v>2798.6905999999999</v>
      </c>
      <c r="AD41" s="77">
        <v>559738120</v>
      </c>
      <c r="AE41" s="76"/>
      <c r="AF41" s="75">
        <v>60000</v>
      </c>
      <c r="AG41" s="75">
        <v>2798.6905999999999</v>
      </c>
      <c r="AH41" s="119">
        <v>167921436</v>
      </c>
      <c r="AI41" s="76"/>
      <c r="AJ41" s="75">
        <v>0</v>
      </c>
      <c r="AK41" s="75">
        <v>0</v>
      </c>
      <c r="AL41" s="119">
        <v>0</v>
      </c>
      <c r="AM41" s="76"/>
      <c r="AN41" s="75">
        <v>100000</v>
      </c>
      <c r="AO41" s="75">
        <v>2619.6278499999999</v>
      </c>
      <c r="AP41" s="119">
        <v>261962785</v>
      </c>
      <c r="AQ41" s="76"/>
      <c r="AR41" s="75">
        <v>0</v>
      </c>
      <c r="AS41" s="75">
        <v>0</v>
      </c>
      <c r="AT41" s="119">
        <v>0</v>
      </c>
      <c r="AU41" s="76"/>
      <c r="AV41" s="75">
        <v>20000</v>
      </c>
      <c r="AW41" s="75">
        <v>2682.4345499999999</v>
      </c>
      <c r="AX41" s="119">
        <v>53648691</v>
      </c>
      <c r="AY41" s="76"/>
      <c r="AZ41" s="75">
        <v>40000</v>
      </c>
      <c r="BA41" s="75">
        <v>2685.271925</v>
      </c>
      <c r="BB41" s="119">
        <v>107410877</v>
      </c>
      <c r="BC41" s="76"/>
      <c r="BD41" s="75">
        <v>80000</v>
      </c>
      <c r="BE41" s="75">
        <v>2702.2204999999999</v>
      </c>
      <c r="BF41" s="77">
        <v>216177640</v>
      </c>
      <c r="BG41" s="76"/>
      <c r="BH41" s="75">
        <v>0</v>
      </c>
      <c r="BI41" s="75">
        <v>0</v>
      </c>
      <c r="BJ41" s="77">
        <v>0</v>
      </c>
      <c r="BK41" s="76"/>
      <c r="BL41" s="75">
        <v>40000</v>
      </c>
      <c r="BM41" s="75">
        <v>2734.5866249999999</v>
      </c>
      <c r="BN41" s="77">
        <v>109383465</v>
      </c>
      <c r="BO41" s="76"/>
      <c r="BP41" s="75">
        <v>80000</v>
      </c>
      <c r="BQ41" s="75">
        <v>2666.2594125000001</v>
      </c>
      <c r="BR41" s="77">
        <v>213300753</v>
      </c>
      <c r="BS41" s="76"/>
      <c r="BT41" s="75">
        <v>40000</v>
      </c>
      <c r="BU41" s="75">
        <v>2577.9003750000002</v>
      </c>
      <c r="BV41" s="77">
        <v>103116015</v>
      </c>
    </row>
    <row r="42" spans="2:75" s="137" customFormat="1" ht="18" customHeight="1" thickBot="1">
      <c r="B42" s="161" t="str">
        <f>CONCATENATE(E38,D42)</f>
        <v>11030671103067당월재고/단가</v>
      </c>
      <c r="C42" s="10" t="str">
        <f t="shared" si="13"/>
        <v>1103067당월재고/단가</v>
      </c>
      <c r="D42" s="12" t="str">
        <f t="shared" si="14"/>
        <v>1103067당월재고/단가</v>
      </c>
      <c r="E42" s="38" t="str">
        <f t="shared" si="3"/>
        <v>1103067</v>
      </c>
      <c r="F42" s="142"/>
      <c r="G42" s="33"/>
      <c r="H42" s="190"/>
      <c r="I42" s="34" t="s">
        <v>25</v>
      </c>
      <c r="J42" s="81"/>
      <c r="K42" s="80"/>
      <c r="L42" s="82"/>
      <c r="M42" s="82"/>
      <c r="N42" s="83"/>
      <c r="O42" s="80"/>
      <c r="P42" s="84">
        <f t="shared" si="12"/>
        <v>0</v>
      </c>
      <c r="Q42" s="85">
        <f>VLOOKUP(P42,[1]A!D:G,3,FALSE)</f>
        <v>0</v>
      </c>
      <c r="R42" s="86" t="s">
        <v>79</v>
      </c>
      <c r="S42" s="88"/>
      <c r="T42" s="87">
        <v>76517</v>
      </c>
      <c r="U42" s="87">
        <v>2497.8775174144307</v>
      </c>
      <c r="V42" s="89">
        <v>191130094</v>
      </c>
      <c r="W42" s="88"/>
      <c r="X42" s="87">
        <v>41548</v>
      </c>
      <c r="Y42" s="87">
        <v>2592.0332627322614</v>
      </c>
      <c r="Z42" s="89">
        <v>107693798</v>
      </c>
      <c r="AA42" s="88"/>
      <c r="AB42" s="87">
        <v>60768</v>
      </c>
      <c r="AC42" s="87">
        <v>2798.6990685887308</v>
      </c>
      <c r="AD42" s="89">
        <v>170071345</v>
      </c>
      <c r="AE42" s="88"/>
      <c r="AF42" s="87">
        <v>768</v>
      </c>
      <c r="AG42" s="87">
        <v>2799.3606770833335</v>
      </c>
      <c r="AH42" s="120">
        <v>2149909</v>
      </c>
      <c r="AI42" s="88"/>
      <c r="AJ42" s="87">
        <v>33184</v>
      </c>
      <c r="AK42" s="87">
        <v>2587.0416767116681</v>
      </c>
      <c r="AL42" s="120">
        <v>85848391</v>
      </c>
      <c r="AM42" s="88"/>
      <c r="AN42" s="87">
        <v>6927</v>
      </c>
      <c r="AO42" s="87">
        <v>2619.7021798758483</v>
      </c>
      <c r="AP42" s="120">
        <v>18146677</v>
      </c>
      <c r="AQ42" s="88"/>
      <c r="AR42" s="87">
        <v>51688</v>
      </c>
      <c r="AS42" s="87">
        <v>2670.2132409843675</v>
      </c>
      <c r="AT42" s="120">
        <v>138017982</v>
      </c>
      <c r="AU42" s="88"/>
      <c r="AV42" s="87">
        <v>91953</v>
      </c>
      <c r="AW42" s="87">
        <v>2682.440181397018</v>
      </c>
      <c r="AX42" s="120">
        <v>246658422</v>
      </c>
      <c r="AY42" s="88"/>
      <c r="AZ42" s="87">
        <v>77428</v>
      </c>
      <c r="BA42" s="87">
        <v>2685.2785813917444</v>
      </c>
      <c r="BB42" s="120">
        <v>207915750</v>
      </c>
      <c r="BC42" s="88"/>
      <c r="BD42" s="87">
        <v>49085</v>
      </c>
      <c r="BE42" s="87">
        <v>2702.2310074360803</v>
      </c>
      <c r="BF42" s="89">
        <v>132639009</v>
      </c>
      <c r="BG42" s="88"/>
      <c r="BH42" s="87">
        <v>49085</v>
      </c>
      <c r="BI42" s="87">
        <v>2702.2310074360803</v>
      </c>
      <c r="BJ42" s="89">
        <v>132639009</v>
      </c>
      <c r="BK42" s="88"/>
      <c r="BL42" s="87">
        <v>69933</v>
      </c>
      <c r="BM42" s="87">
        <v>2734.5939971115208</v>
      </c>
      <c r="BN42" s="89">
        <v>191238362</v>
      </c>
      <c r="BO42" s="88"/>
      <c r="BP42" s="87">
        <v>0</v>
      </c>
      <c r="BQ42" s="87">
        <v>0</v>
      </c>
      <c r="BR42" s="89">
        <v>0</v>
      </c>
      <c r="BS42" s="88"/>
      <c r="BT42" s="87">
        <v>0</v>
      </c>
      <c r="BU42" s="87">
        <v>0</v>
      </c>
      <c r="BV42" s="89">
        <v>0</v>
      </c>
    </row>
    <row r="43" spans="2:75" s="137" customFormat="1" ht="18" customHeight="1" thickBot="1">
      <c r="B43" s="161"/>
      <c r="C43" s="10" t="str">
        <f t="shared" si="13"/>
        <v>분석</v>
      </c>
      <c r="D43" s="12" t="str">
        <f t="shared" si="14"/>
        <v>분석</v>
      </c>
      <c r="E43" s="38"/>
      <c r="F43" s="142"/>
      <c r="G43" s="33"/>
      <c r="H43" s="191"/>
      <c r="I43" s="34" t="s">
        <v>25</v>
      </c>
      <c r="J43" s="144"/>
      <c r="K43" s="145"/>
      <c r="L43" s="146"/>
      <c r="M43" s="146"/>
      <c r="N43" s="147"/>
      <c r="O43" s="145"/>
      <c r="P43" s="162">
        <f t="shared" si="12"/>
        <v>0</v>
      </c>
      <c r="Q43" s="90">
        <f>VLOOKUP(P43,[1]A!D:G,3,FALSE)</f>
        <v>0</v>
      </c>
      <c r="R43" s="91" t="s">
        <v>80</v>
      </c>
      <c r="S43" s="93"/>
      <c r="T43" s="92"/>
      <c r="U43" s="92"/>
      <c r="V43" s="95">
        <v>485193126</v>
      </c>
      <c r="W43" s="93"/>
      <c r="X43" s="92"/>
      <c r="Y43" s="92"/>
      <c r="Z43" s="95">
        <v>123925372</v>
      </c>
      <c r="AA43" s="93"/>
      <c r="AB43" s="92">
        <v>219220</v>
      </c>
      <c r="AC43" s="92"/>
      <c r="AD43" s="95">
        <v>622115667</v>
      </c>
      <c r="AE43" s="93"/>
      <c r="AF43" s="92"/>
      <c r="AG43" s="92"/>
      <c r="AH43" s="121">
        <v>0</v>
      </c>
      <c r="AI43" s="93"/>
      <c r="AJ43" s="92">
        <v>32416</v>
      </c>
      <c r="AK43" s="92"/>
      <c r="AL43" s="121">
        <v>83698482</v>
      </c>
      <c r="AM43" s="93"/>
      <c r="AN43" s="92">
        <v>73743</v>
      </c>
      <c r="AO43" s="92"/>
      <c r="AP43" s="121">
        <v>194261071</v>
      </c>
      <c r="AQ43" s="93"/>
      <c r="AR43" s="92">
        <v>44761</v>
      </c>
      <c r="AS43" s="92"/>
      <c r="AT43" s="121">
        <v>119871305</v>
      </c>
      <c r="AU43" s="93"/>
      <c r="AV43" s="92">
        <v>60265</v>
      </c>
      <c r="AW43" s="92"/>
      <c r="AX43" s="121">
        <v>162289131</v>
      </c>
      <c r="AY43" s="93"/>
      <c r="AZ43" s="92">
        <v>24467</v>
      </c>
      <c r="BA43" s="92"/>
      <c r="BB43" s="121">
        <v>66126157</v>
      </c>
      <c r="BC43" s="93"/>
      <c r="BD43" s="92">
        <v>51657</v>
      </c>
      <c r="BE43" s="92"/>
      <c r="BF43" s="95">
        <v>140900899</v>
      </c>
      <c r="BG43" s="93"/>
      <c r="BH43" s="92">
        <v>0</v>
      </c>
      <c r="BI43" s="92"/>
      <c r="BJ43" s="95">
        <v>0</v>
      </c>
      <c r="BK43" s="93"/>
      <c r="BL43" s="92">
        <v>60848</v>
      </c>
      <c r="BM43" s="92"/>
      <c r="BN43" s="95">
        <v>167982818</v>
      </c>
      <c r="BO43" s="93"/>
      <c r="BP43" s="92"/>
      <c r="BQ43" s="92"/>
      <c r="BR43" s="95">
        <v>207189296</v>
      </c>
      <c r="BS43" s="93"/>
      <c r="BT43" s="92"/>
      <c r="BU43" s="92"/>
      <c r="BV43" s="95">
        <v>337112400</v>
      </c>
    </row>
    <row r="44" spans="2:75" s="137" customFormat="1" ht="15" hidden="1" thickBot="1">
      <c r="B44" s="154"/>
      <c r="C44" s="10" t="str">
        <f t="shared" si="13"/>
        <v>1103068전월재고/단가</v>
      </c>
      <c r="D44" s="12" t="str">
        <f t="shared" si="14"/>
        <v>1103068전월재고/단가</v>
      </c>
      <c r="E44" s="38">
        <f t="shared" si="3"/>
        <v>1103068</v>
      </c>
      <c r="F44" s="97"/>
      <c r="G44" s="33">
        <v>1103068</v>
      </c>
      <c r="H44" s="190" t="s">
        <v>81</v>
      </c>
      <c r="I44" s="34" t="s">
        <v>82</v>
      </c>
      <c r="J44" s="133"/>
      <c r="K44" s="32"/>
      <c r="L44" s="127"/>
      <c r="M44" s="127"/>
      <c r="N44" s="128"/>
      <c r="O44" s="163"/>
      <c r="P44" s="164">
        <f t="shared" si="12"/>
        <v>0</v>
      </c>
      <c r="Q44" s="165">
        <f>VLOOKUP(P44,[1]A!D:G,3,FALSE)</f>
        <v>0</v>
      </c>
      <c r="R44" s="148" t="s">
        <v>83</v>
      </c>
      <c r="S44" s="131"/>
      <c r="T44" s="149">
        <v>0</v>
      </c>
      <c r="U44" s="149">
        <v>0</v>
      </c>
      <c r="V44" s="150">
        <v>0</v>
      </c>
      <c r="W44" s="131"/>
      <c r="X44" s="149">
        <v>0</v>
      </c>
      <c r="Y44" s="149">
        <v>0</v>
      </c>
      <c r="Z44" s="150">
        <v>0</v>
      </c>
      <c r="AA44" s="131"/>
      <c r="AB44" s="149">
        <v>0</v>
      </c>
      <c r="AC44" s="149">
        <v>0</v>
      </c>
      <c r="AD44" s="150">
        <v>0</v>
      </c>
      <c r="AE44" s="131"/>
      <c r="AF44" s="149">
        <v>0</v>
      </c>
      <c r="AG44" s="149">
        <v>0</v>
      </c>
      <c r="AH44" s="151">
        <v>0</v>
      </c>
      <c r="AI44" s="131"/>
      <c r="AJ44" s="149">
        <v>0</v>
      </c>
      <c r="AK44" s="149">
        <v>0</v>
      </c>
      <c r="AL44" s="151">
        <v>0</v>
      </c>
      <c r="AM44" s="131"/>
      <c r="AN44" s="149">
        <v>0</v>
      </c>
      <c r="AO44" s="149">
        <v>0</v>
      </c>
      <c r="AP44" s="151">
        <v>0</v>
      </c>
      <c r="AQ44" s="131"/>
      <c r="AR44" s="149">
        <v>0</v>
      </c>
      <c r="AS44" s="149">
        <v>0</v>
      </c>
      <c r="AT44" s="151">
        <v>0</v>
      </c>
      <c r="AU44" s="131"/>
      <c r="AV44" s="149">
        <v>0</v>
      </c>
      <c r="AW44" s="149">
        <v>0</v>
      </c>
      <c r="AX44" s="151">
        <v>0</v>
      </c>
      <c r="AY44" s="131"/>
      <c r="AZ44" s="149">
        <v>0</v>
      </c>
      <c r="BA44" s="149">
        <v>0</v>
      </c>
      <c r="BB44" s="151">
        <v>0</v>
      </c>
      <c r="BC44" s="131"/>
      <c r="BD44" s="149">
        <v>0</v>
      </c>
      <c r="BE44" s="149">
        <v>0</v>
      </c>
      <c r="BF44" s="150">
        <v>0</v>
      </c>
      <c r="BG44" s="131"/>
      <c r="BH44" s="149">
        <v>0</v>
      </c>
      <c r="BI44" s="149">
        <v>0</v>
      </c>
      <c r="BJ44" s="150">
        <v>0</v>
      </c>
      <c r="BK44" s="131"/>
      <c r="BL44" s="149">
        <v>0</v>
      </c>
      <c r="BM44" s="149">
        <v>0</v>
      </c>
      <c r="BN44" s="150">
        <v>0</v>
      </c>
      <c r="BO44" s="131"/>
      <c r="BP44" s="149" t="e">
        <f>IF(BL59=0,SUMIF('[1]23.01원가'!$C:$C,[1]생산내역!$E495,'[1]23.01원가'!$G:$G),BL59)</f>
        <v>#VALUE!</v>
      </c>
      <c r="BQ44" s="149">
        <f>IFERROR(+BR44/BP44,0)</f>
        <v>0</v>
      </c>
      <c r="BR44" s="150" t="e">
        <f>IF(BN59=0,SUMIF('[1]23.01원가'!$C:$C,[1]생산내역!$E495,'[1]23.01원가'!$I:$I),BN59)</f>
        <v>#VALUE!</v>
      </c>
      <c r="BS44" s="131"/>
      <c r="BT44" s="149" t="e">
        <f>IF(BP59=0,SUMIF('[1]23.02원가'!$C:$C,[1]생산내역!$E495,'[1]23.02원가'!$G:$G),BP59)</f>
        <v>#VALUE!</v>
      </c>
      <c r="BU44" s="149">
        <f>IFERROR(+BV44/BT44,0)</f>
        <v>0</v>
      </c>
      <c r="BV44" s="150" t="e">
        <f>IF(BR59=0,SUMIF('[1]23.02원가'!$C:$C,[1]생산내역!$E495,'[1]23.02원가'!$I:$I),BR59)</f>
        <v>#VALUE!</v>
      </c>
    </row>
    <row r="45" spans="2:75" s="12" customFormat="1" ht="15" hidden="1" thickBot="1">
      <c r="B45" s="12" t="str">
        <f>CONCATENATE(E45,O45)</f>
        <v>11030683402105</v>
      </c>
      <c r="C45" s="1" t="str">
        <f t="shared" si="13"/>
        <v>1103068MPPO JM-595M</v>
      </c>
      <c r="D45" s="12" t="str">
        <f t="shared" si="14"/>
        <v>1103068MPPO JM-595M</v>
      </c>
      <c r="E45" s="38">
        <f t="shared" si="3"/>
        <v>1103068</v>
      </c>
      <c r="F45" s="39" t="str">
        <f>IF(H44=0,#REF!,H44)</f>
        <v>TPAA103(외주)</v>
      </c>
      <c r="G45" s="123"/>
      <c r="H45" s="190"/>
      <c r="I45" s="34" t="s">
        <v>82</v>
      </c>
      <c r="K45" s="38" t="s">
        <v>26</v>
      </c>
      <c r="L45" s="41">
        <v>43370</v>
      </c>
      <c r="M45" s="41">
        <v>2776.41</v>
      </c>
      <c r="N45" s="42">
        <v>120412944</v>
      </c>
      <c r="O45" s="166" t="s">
        <v>29</v>
      </c>
      <c r="P45" s="167">
        <f t="shared" si="12"/>
        <v>3402105</v>
      </c>
      <c r="Q45" s="168" t="str">
        <f>VLOOKUP(P45,[1]A!D:G,3,FALSE)</f>
        <v>MPPO</v>
      </c>
      <c r="R45" s="110" t="s">
        <v>30</v>
      </c>
      <c r="S45" s="103">
        <v>0</v>
      </c>
      <c r="T45" s="104">
        <v>0</v>
      </c>
      <c r="U45" s="104">
        <v>0</v>
      </c>
      <c r="V45" s="105">
        <v>0</v>
      </c>
      <c r="W45" s="103">
        <v>0</v>
      </c>
      <c r="X45" s="104">
        <v>0</v>
      </c>
      <c r="Y45" s="104">
        <v>0</v>
      </c>
      <c r="Z45" s="105">
        <v>0</v>
      </c>
      <c r="AA45" s="103">
        <v>0</v>
      </c>
      <c r="AB45" s="104">
        <v>0</v>
      </c>
      <c r="AC45" s="104">
        <v>0</v>
      </c>
      <c r="AD45" s="105">
        <v>0</v>
      </c>
      <c r="AE45" s="103">
        <v>0</v>
      </c>
      <c r="AF45" s="104">
        <v>0</v>
      </c>
      <c r="AG45" s="104">
        <v>0</v>
      </c>
      <c r="AH45" s="106">
        <v>0</v>
      </c>
      <c r="AI45" s="103">
        <v>0</v>
      </c>
      <c r="AJ45" s="104">
        <v>0</v>
      </c>
      <c r="AK45" s="104">
        <v>0</v>
      </c>
      <c r="AL45" s="106">
        <v>0</v>
      </c>
      <c r="AM45" s="103">
        <v>0</v>
      </c>
      <c r="AN45" s="104">
        <v>0</v>
      </c>
      <c r="AO45" s="104">
        <v>0</v>
      </c>
      <c r="AP45" s="106">
        <v>0</v>
      </c>
      <c r="AQ45" s="103">
        <v>0</v>
      </c>
      <c r="AR45" s="104">
        <v>0</v>
      </c>
      <c r="AS45" s="104">
        <v>0</v>
      </c>
      <c r="AT45" s="106">
        <v>0</v>
      </c>
      <c r="AU45" s="103">
        <v>0</v>
      </c>
      <c r="AV45" s="104">
        <v>0</v>
      </c>
      <c r="AW45" s="104">
        <v>0</v>
      </c>
      <c r="AX45" s="106">
        <v>0</v>
      </c>
      <c r="AY45" s="103">
        <v>0</v>
      </c>
      <c r="AZ45" s="104">
        <v>0</v>
      </c>
      <c r="BA45" s="104">
        <v>0</v>
      </c>
      <c r="BB45" s="106">
        <v>0</v>
      </c>
      <c r="BC45" s="103">
        <v>0</v>
      </c>
      <c r="BD45" s="104">
        <v>0</v>
      </c>
      <c r="BE45" s="104">
        <v>0</v>
      </c>
      <c r="BF45" s="105">
        <v>0</v>
      </c>
      <c r="BG45" s="103">
        <v>0</v>
      </c>
      <c r="BH45" s="104">
        <v>0</v>
      </c>
      <c r="BI45" s="104">
        <v>0</v>
      </c>
      <c r="BJ45" s="105">
        <v>0</v>
      </c>
      <c r="BK45" s="103">
        <v>0</v>
      </c>
      <c r="BL45" s="104">
        <v>0</v>
      </c>
      <c r="BM45" s="104">
        <v>0</v>
      </c>
      <c r="BN45" s="105">
        <v>0</v>
      </c>
      <c r="BO45" s="103" t="e">
        <f>SUMIF('[1]재료비23.01'!$A:$A,[1]생산내역!$B495,'[1]재료비23.01'!$O:$O)</f>
        <v>#VALUE!</v>
      </c>
      <c r="BP45" s="104" t="e">
        <f>SUMIF('[1]재료비23.01'!$A:$A,[1]생산내역!$B495,'[1]재료비23.01'!$P:$P)</f>
        <v>#VALUE!</v>
      </c>
      <c r="BQ45" s="104" t="e">
        <f>SUMIF('[1]재료비23.01'!$A:$A,[1]생산내역!$B495,'[1]재료비23.01'!$Q:$Q)</f>
        <v>#VALUE!</v>
      </c>
      <c r="BR45" s="105" t="e">
        <f>SUMIF('[1]재료비23.01'!$A:$A,[1]생산내역!$B495,'[1]재료비23.01'!$R:$R)</f>
        <v>#VALUE!</v>
      </c>
      <c r="BS45" s="103" t="e">
        <f>SUMIF('[1]재료비23.02'!$A:$A,[1]생산내역!$B495,'[1]재료비23.02'!$O:$O)</f>
        <v>#VALUE!</v>
      </c>
      <c r="BT45" s="104" t="e">
        <f>SUMIF('[1]재료비23.02'!$A:$A,[1]생산내역!$B495,'[1]재료비23.02'!$P:$P)</f>
        <v>#VALUE!</v>
      </c>
      <c r="BU45" s="104" t="e">
        <f>SUMIF('[1]재료비23.02'!$A:$A,[1]생산내역!$B495,'[1]재료비23.02'!$Q:$Q)</f>
        <v>#VALUE!</v>
      </c>
      <c r="BV45" s="105" t="e">
        <f>SUMIF('[1]재료비23.02'!$A:$A,[1]생산내역!$B495,'[1]재료비23.02'!$R:$R)</f>
        <v>#VALUE!</v>
      </c>
    </row>
    <row r="46" spans="2:75" s="12" customFormat="1" ht="15" hidden="1" thickBot="1">
      <c r="B46" s="12" t="str">
        <f>CONCATENATE(E46,O46)</f>
        <v>11030683403303</v>
      </c>
      <c r="C46" s="10" t="str">
        <f t="shared" si="13"/>
        <v>1103068MPPO&lt;KC&gt;</v>
      </c>
      <c r="D46" s="12" t="str">
        <f t="shared" si="14"/>
        <v>1103068MPPO&lt;KC&gt;</v>
      </c>
      <c r="E46" s="38">
        <f t="shared" si="3"/>
        <v>1103068</v>
      </c>
      <c r="F46" s="39" t="str">
        <f>IF(H46=0,F45,H46)</f>
        <v>TPAA103(외주)</v>
      </c>
      <c r="G46" s="33"/>
      <c r="H46" s="190"/>
      <c r="I46" s="34" t="s">
        <v>82</v>
      </c>
      <c r="K46" s="38"/>
      <c r="L46" s="41"/>
      <c r="M46" s="41"/>
      <c r="N46" s="42"/>
      <c r="O46" s="166" t="s">
        <v>33</v>
      </c>
      <c r="P46" s="43">
        <f t="shared" si="12"/>
        <v>3403303</v>
      </c>
      <c r="Q46" s="44" t="str">
        <f>VLOOKUP(P46,[1]A!D:G,3,FALSE)</f>
        <v>R재</v>
      </c>
      <c r="R46" s="45" t="s">
        <v>84</v>
      </c>
      <c r="S46" s="99">
        <v>0</v>
      </c>
      <c r="T46" s="100">
        <v>0</v>
      </c>
      <c r="U46" s="100">
        <v>0</v>
      </c>
      <c r="V46" s="101">
        <v>0</v>
      </c>
      <c r="W46" s="99">
        <v>0</v>
      </c>
      <c r="X46" s="100">
        <v>0</v>
      </c>
      <c r="Y46" s="100">
        <v>0</v>
      </c>
      <c r="Z46" s="101">
        <v>0</v>
      </c>
      <c r="AA46" s="99">
        <v>0</v>
      </c>
      <c r="AB46" s="100">
        <v>0</v>
      </c>
      <c r="AC46" s="100">
        <v>0</v>
      </c>
      <c r="AD46" s="101">
        <v>0</v>
      </c>
      <c r="AE46" s="99">
        <v>0</v>
      </c>
      <c r="AF46" s="100">
        <v>0</v>
      </c>
      <c r="AG46" s="100">
        <v>0</v>
      </c>
      <c r="AH46" s="102">
        <v>0</v>
      </c>
      <c r="AI46" s="99">
        <v>0</v>
      </c>
      <c r="AJ46" s="100">
        <v>0</v>
      </c>
      <c r="AK46" s="100">
        <v>0</v>
      </c>
      <c r="AL46" s="102">
        <v>0</v>
      </c>
      <c r="AM46" s="99">
        <v>0</v>
      </c>
      <c r="AN46" s="100">
        <v>0</v>
      </c>
      <c r="AO46" s="100">
        <v>0</v>
      </c>
      <c r="AP46" s="102">
        <v>0</v>
      </c>
      <c r="AQ46" s="99">
        <v>0</v>
      </c>
      <c r="AR46" s="100">
        <v>0</v>
      </c>
      <c r="AS46" s="100">
        <v>0</v>
      </c>
      <c r="AT46" s="102">
        <v>0</v>
      </c>
      <c r="AU46" s="99">
        <v>0</v>
      </c>
      <c r="AV46" s="100">
        <v>0</v>
      </c>
      <c r="AW46" s="100">
        <v>0</v>
      </c>
      <c r="AX46" s="102">
        <v>0</v>
      </c>
      <c r="AY46" s="99">
        <v>0</v>
      </c>
      <c r="AZ46" s="100">
        <v>0</v>
      </c>
      <c r="BA46" s="100">
        <v>0</v>
      </c>
      <c r="BB46" s="102">
        <v>0</v>
      </c>
      <c r="BC46" s="99">
        <v>0</v>
      </c>
      <c r="BD46" s="100">
        <v>0</v>
      </c>
      <c r="BE46" s="100">
        <v>0</v>
      </c>
      <c r="BF46" s="101">
        <v>0</v>
      </c>
      <c r="BG46" s="99">
        <v>0</v>
      </c>
      <c r="BH46" s="100">
        <v>0</v>
      </c>
      <c r="BI46" s="100">
        <v>0</v>
      </c>
      <c r="BJ46" s="101">
        <v>0</v>
      </c>
      <c r="BK46" s="99">
        <v>0</v>
      </c>
      <c r="BL46" s="100">
        <v>0</v>
      </c>
      <c r="BM46" s="100">
        <v>0</v>
      </c>
      <c r="BN46" s="101">
        <v>0</v>
      </c>
      <c r="BO46" s="99" t="e">
        <f>SUMIF('[1]재료비23.01'!$A:$A,[1]생산내역!$B496,'[1]재료비23.01'!$O:$O)</f>
        <v>#VALUE!</v>
      </c>
      <c r="BP46" s="100" t="e">
        <f>SUMIF('[1]재료비23.01'!$A:$A,[1]생산내역!$B496,'[1]재료비23.01'!$P:$P)</f>
        <v>#VALUE!</v>
      </c>
      <c r="BQ46" s="100" t="e">
        <f>SUMIF('[1]재료비23.01'!$A:$A,[1]생산내역!$B496,'[1]재료비23.01'!$Q:$Q)</f>
        <v>#VALUE!</v>
      </c>
      <c r="BR46" s="101" t="e">
        <f>SUMIF('[1]재료비23.01'!$A:$A,[1]생산내역!$B496,'[1]재료비23.01'!$R:$R)</f>
        <v>#VALUE!</v>
      </c>
      <c r="BS46" s="99" t="e">
        <f>SUMIF('[1]재료비23.02'!$A:$A,[1]생산내역!$B496,'[1]재료비23.02'!$O:$O)</f>
        <v>#VALUE!</v>
      </c>
      <c r="BT46" s="100" t="e">
        <f>SUMIF('[1]재료비23.02'!$A:$A,[1]생산내역!$B496,'[1]재료비23.02'!$P:$P)</f>
        <v>#VALUE!</v>
      </c>
      <c r="BU46" s="100" t="e">
        <f>SUMIF('[1]재료비23.02'!$A:$A,[1]생산내역!$B496,'[1]재료비23.02'!$Q:$Q)</f>
        <v>#VALUE!</v>
      </c>
      <c r="BV46" s="101" t="e">
        <f>SUMIF('[1]재료비23.02'!$A:$A,[1]생산내역!$B496,'[1]재료비23.02'!$R:$R)</f>
        <v>#VALUE!</v>
      </c>
    </row>
    <row r="47" spans="2:75" s="12" customFormat="1" ht="15" hidden="1" thickBot="1">
      <c r="B47" s="12" t="str">
        <f>CONCATENATE(E47,O47)</f>
        <v>11030683403313</v>
      </c>
      <c r="C47" s="10" t="str">
        <f t="shared" si="13"/>
        <v>1103068MPPO&lt;GF&gt;</v>
      </c>
      <c r="D47" s="12" t="str">
        <f t="shared" si="14"/>
        <v>1103068MPPO&lt;GF&gt;</v>
      </c>
      <c r="E47" s="38">
        <f t="shared" si="3"/>
        <v>1103068</v>
      </c>
      <c r="F47" s="39" t="str">
        <f>IF(H47=0,F45,H47)</f>
        <v>TPAA103(외주)</v>
      </c>
      <c r="G47" s="33"/>
      <c r="H47" s="190"/>
      <c r="I47" s="34" t="s">
        <v>82</v>
      </c>
      <c r="K47" s="38"/>
      <c r="L47" s="41"/>
      <c r="M47" s="41"/>
      <c r="N47" s="42"/>
      <c r="O47" s="166" t="s">
        <v>44</v>
      </c>
      <c r="P47" s="43">
        <f t="shared" si="12"/>
        <v>3403313</v>
      </c>
      <c r="Q47" s="44" t="str">
        <f>VLOOKUP(P47,[1]A!D:G,3,FALSE)</f>
        <v>R재</v>
      </c>
      <c r="R47" s="45" t="s">
        <v>85</v>
      </c>
      <c r="S47" s="99">
        <v>0</v>
      </c>
      <c r="T47" s="100">
        <v>0</v>
      </c>
      <c r="U47" s="100">
        <v>0</v>
      </c>
      <c r="V47" s="101">
        <v>0</v>
      </c>
      <c r="W47" s="99">
        <v>0</v>
      </c>
      <c r="X47" s="100">
        <v>0</v>
      </c>
      <c r="Y47" s="100">
        <v>0</v>
      </c>
      <c r="Z47" s="101">
        <v>0</v>
      </c>
      <c r="AA47" s="99">
        <v>0</v>
      </c>
      <c r="AB47" s="100">
        <v>0</v>
      </c>
      <c r="AC47" s="100">
        <v>0</v>
      </c>
      <c r="AD47" s="101">
        <v>0</v>
      </c>
      <c r="AE47" s="99">
        <v>0</v>
      </c>
      <c r="AF47" s="100">
        <v>0</v>
      </c>
      <c r="AG47" s="100">
        <v>0</v>
      </c>
      <c r="AH47" s="102">
        <v>0</v>
      </c>
      <c r="AI47" s="99">
        <v>0</v>
      </c>
      <c r="AJ47" s="100">
        <v>0</v>
      </c>
      <c r="AK47" s="100">
        <v>0</v>
      </c>
      <c r="AL47" s="102">
        <v>0</v>
      </c>
      <c r="AM47" s="99">
        <v>0</v>
      </c>
      <c r="AN47" s="100">
        <v>0</v>
      </c>
      <c r="AO47" s="100">
        <v>0</v>
      </c>
      <c r="AP47" s="102">
        <v>0</v>
      </c>
      <c r="AQ47" s="99">
        <v>0</v>
      </c>
      <c r="AR47" s="100">
        <v>0</v>
      </c>
      <c r="AS47" s="100">
        <v>0</v>
      </c>
      <c r="AT47" s="102">
        <v>0</v>
      </c>
      <c r="AU47" s="99">
        <v>0</v>
      </c>
      <c r="AV47" s="100">
        <v>0</v>
      </c>
      <c r="AW47" s="100">
        <v>0</v>
      </c>
      <c r="AX47" s="102">
        <v>0</v>
      </c>
      <c r="AY47" s="99">
        <v>0</v>
      </c>
      <c r="AZ47" s="100">
        <v>0</v>
      </c>
      <c r="BA47" s="100">
        <v>0</v>
      </c>
      <c r="BB47" s="102">
        <v>0</v>
      </c>
      <c r="BC47" s="99">
        <v>0</v>
      </c>
      <c r="BD47" s="100">
        <v>0</v>
      </c>
      <c r="BE47" s="100">
        <v>0</v>
      </c>
      <c r="BF47" s="101">
        <v>0</v>
      </c>
      <c r="BG47" s="99">
        <v>0</v>
      </c>
      <c r="BH47" s="100">
        <v>0</v>
      </c>
      <c r="BI47" s="100">
        <v>0</v>
      </c>
      <c r="BJ47" s="101">
        <v>0</v>
      </c>
      <c r="BK47" s="99">
        <v>0</v>
      </c>
      <c r="BL47" s="100">
        <v>0</v>
      </c>
      <c r="BM47" s="100">
        <v>0</v>
      </c>
      <c r="BN47" s="101">
        <v>0</v>
      </c>
      <c r="BO47" s="99" t="e">
        <f>SUMIF('[1]재료비23.01'!$A:$A,[1]생산내역!$B497,'[1]재료비23.01'!$O:$O)</f>
        <v>#VALUE!</v>
      </c>
      <c r="BP47" s="100" t="e">
        <f>SUMIF('[1]재료비23.01'!$A:$A,[1]생산내역!$B497,'[1]재료비23.01'!$P:$P)</f>
        <v>#VALUE!</v>
      </c>
      <c r="BQ47" s="100" t="e">
        <f>SUMIF('[1]재료비23.01'!$A:$A,[1]생산내역!$B497,'[1]재료비23.01'!$Q:$Q)</f>
        <v>#VALUE!</v>
      </c>
      <c r="BR47" s="101" t="e">
        <f>SUMIF('[1]재료비23.01'!$A:$A,[1]생산내역!$B497,'[1]재료비23.01'!$R:$R)</f>
        <v>#VALUE!</v>
      </c>
      <c r="BS47" s="99" t="e">
        <f>SUMIF('[1]재료비23.02'!$A:$A,[1]생산내역!$B497,'[1]재료비23.02'!$O:$O)</f>
        <v>#VALUE!</v>
      </c>
      <c r="BT47" s="100" t="e">
        <f>SUMIF('[1]재료비23.02'!$A:$A,[1]생산내역!$B497,'[1]재료비23.02'!$P:$P)</f>
        <v>#VALUE!</v>
      </c>
      <c r="BU47" s="100" t="e">
        <f>SUMIF('[1]재료비23.02'!$A:$A,[1]생산내역!$B497,'[1]재료비23.02'!$Q:$Q)</f>
        <v>#VALUE!</v>
      </c>
      <c r="BV47" s="101" t="e">
        <f>SUMIF('[1]재료비23.02'!$A:$A,[1]생산내역!$B497,'[1]재료비23.02'!$R:$R)</f>
        <v>#VALUE!</v>
      </c>
    </row>
    <row r="48" spans="2:75" s="12" customFormat="1" ht="15" hidden="1" thickBot="1">
      <c r="C48" s="10" t="str">
        <f t="shared" si="13"/>
        <v>1103068R재</v>
      </c>
      <c r="E48" s="38">
        <f t="shared" si="3"/>
        <v>1103068</v>
      </c>
      <c r="F48" s="39"/>
      <c r="G48" s="33"/>
      <c r="H48" s="190"/>
      <c r="I48" s="34" t="s">
        <v>82</v>
      </c>
      <c r="K48" s="38"/>
      <c r="L48" s="41"/>
      <c r="M48" s="41"/>
      <c r="N48" s="42"/>
      <c r="O48" s="166"/>
      <c r="P48" s="167"/>
      <c r="Q48" s="168">
        <f>VLOOKUP(P48,[1]A!D:G,3,FALSE)</f>
        <v>0</v>
      </c>
      <c r="R48" s="50" t="str">
        <f>+Q47</f>
        <v>R재</v>
      </c>
      <c r="S48" s="107">
        <v>0</v>
      </c>
      <c r="T48" s="108">
        <v>0</v>
      </c>
      <c r="U48" s="108">
        <v>0</v>
      </c>
      <c r="V48" s="122">
        <v>0</v>
      </c>
      <c r="W48" s="107">
        <v>0</v>
      </c>
      <c r="X48" s="108">
        <v>0</v>
      </c>
      <c r="Y48" s="108">
        <v>0</v>
      </c>
      <c r="Z48" s="122">
        <v>0</v>
      </c>
      <c r="AA48" s="107">
        <v>0</v>
      </c>
      <c r="AB48" s="108">
        <v>0</v>
      </c>
      <c r="AC48" s="108">
        <v>0</v>
      </c>
      <c r="AD48" s="122">
        <v>0</v>
      </c>
      <c r="AE48" s="107">
        <v>0</v>
      </c>
      <c r="AF48" s="108">
        <v>0</v>
      </c>
      <c r="AG48" s="108">
        <v>0</v>
      </c>
      <c r="AH48" s="109">
        <v>0</v>
      </c>
      <c r="AI48" s="107">
        <v>0</v>
      </c>
      <c r="AJ48" s="108">
        <v>0</v>
      </c>
      <c r="AK48" s="108">
        <v>0</v>
      </c>
      <c r="AL48" s="109">
        <v>0</v>
      </c>
      <c r="AM48" s="107">
        <v>0</v>
      </c>
      <c r="AN48" s="108">
        <v>0</v>
      </c>
      <c r="AO48" s="108">
        <v>0</v>
      </c>
      <c r="AP48" s="109">
        <v>0</v>
      </c>
      <c r="AQ48" s="107">
        <v>0</v>
      </c>
      <c r="AR48" s="108">
        <v>0</v>
      </c>
      <c r="AS48" s="108">
        <v>0</v>
      </c>
      <c r="AT48" s="109">
        <v>0</v>
      </c>
      <c r="AU48" s="107">
        <v>0</v>
      </c>
      <c r="AV48" s="108">
        <v>0</v>
      </c>
      <c r="AW48" s="108">
        <v>0</v>
      </c>
      <c r="AX48" s="109">
        <v>0</v>
      </c>
      <c r="AY48" s="107">
        <v>0</v>
      </c>
      <c r="AZ48" s="108">
        <v>0</v>
      </c>
      <c r="BA48" s="108">
        <v>0</v>
      </c>
      <c r="BB48" s="109">
        <v>0</v>
      </c>
      <c r="BC48" s="107">
        <v>0</v>
      </c>
      <c r="BD48" s="108">
        <v>0</v>
      </c>
      <c r="BE48" s="108">
        <v>0</v>
      </c>
      <c r="BF48" s="122">
        <v>0</v>
      </c>
      <c r="BG48" s="107">
        <v>0</v>
      </c>
      <c r="BH48" s="108">
        <v>0</v>
      </c>
      <c r="BI48" s="108">
        <v>0</v>
      </c>
      <c r="BJ48" s="122">
        <v>0</v>
      </c>
      <c r="BK48" s="107">
        <v>0</v>
      </c>
      <c r="BL48" s="108">
        <v>0</v>
      </c>
      <c r="BM48" s="108">
        <v>0</v>
      </c>
      <c r="BN48" s="122">
        <v>0</v>
      </c>
      <c r="BO48" s="107" t="e">
        <f>+BO46+BO47</f>
        <v>#VALUE!</v>
      </c>
      <c r="BP48" s="108" t="e">
        <f>+BP46+BP47</f>
        <v>#VALUE!</v>
      </c>
      <c r="BQ48" s="108">
        <f>IFERROR(+BR48/BP48,0)</f>
        <v>0</v>
      </c>
      <c r="BR48" s="122" t="e">
        <f>+BR46+BR47</f>
        <v>#VALUE!</v>
      </c>
      <c r="BS48" s="107" t="e">
        <f>+BS46+BS47</f>
        <v>#VALUE!</v>
      </c>
      <c r="BT48" s="108" t="e">
        <f>+BT46+BT47</f>
        <v>#VALUE!</v>
      </c>
      <c r="BU48" s="108">
        <f>IFERROR(+BV48/BT48,0)</f>
        <v>0</v>
      </c>
      <c r="BV48" s="122" t="e">
        <f>+BV46+BV47</f>
        <v>#VALUE!</v>
      </c>
    </row>
    <row r="49" spans="2:74" s="12" customFormat="1" ht="15" hidden="1" thickBot="1">
      <c r="B49" s="12" t="str">
        <f>CONCATENATE(E49,O49)</f>
        <v>11030683414085</v>
      </c>
      <c r="C49" s="1" t="str">
        <f t="shared" si="13"/>
        <v>1103068YJ-5085AN</v>
      </c>
      <c r="D49" s="12" t="str">
        <f>CONCATENATE(E49,R49)</f>
        <v>1103068YJ-5085AN</v>
      </c>
      <c r="E49" s="38">
        <f t="shared" si="3"/>
        <v>1103068</v>
      </c>
      <c r="F49" s="39" t="str">
        <f>IF(H49=0,F46,H49)</f>
        <v>TPAA103(외주)</v>
      </c>
      <c r="G49" s="123"/>
      <c r="H49" s="190"/>
      <c r="I49" s="34" t="s">
        <v>82</v>
      </c>
      <c r="K49" s="38"/>
      <c r="L49" s="41"/>
      <c r="M49" s="41"/>
      <c r="N49" s="42"/>
      <c r="O49" s="38" t="s">
        <v>46</v>
      </c>
      <c r="P49" s="48">
        <f t="shared" ref="P49:P60" si="15">+O49*1</f>
        <v>3414085</v>
      </c>
      <c r="Q49" s="49" t="str">
        <f>VLOOKUP(P49,[1]A!D:G,3,FALSE)</f>
        <v>SEBS</v>
      </c>
      <c r="R49" s="110" t="s">
        <v>47</v>
      </c>
      <c r="S49" s="124">
        <v>0</v>
      </c>
      <c r="T49" s="104">
        <v>0</v>
      </c>
      <c r="U49" s="104">
        <v>0</v>
      </c>
      <c r="V49" s="125">
        <v>0</v>
      </c>
      <c r="W49" s="124">
        <v>0</v>
      </c>
      <c r="X49" s="104">
        <v>0</v>
      </c>
      <c r="Y49" s="104">
        <v>0</v>
      </c>
      <c r="Z49" s="125">
        <v>0</v>
      </c>
      <c r="AA49" s="124">
        <v>0</v>
      </c>
      <c r="AB49" s="104">
        <v>0</v>
      </c>
      <c r="AC49" s="104">
        <v>0</v>
      </c>
      <c r="AD49" s="125">
        <v>0</v>
      </c>
      <c r="AE49" s="124">
        <v>0</v>
      </c>
      <c r="AF49" s="104">
        <v>0</v>
      </c>
      <c r="AG49" s="104">
        <v>0</v>
      </c>
      <c r="AH49" s="126">
        <v>0</v>
      </c>
      <c r="AI49" s="124">
        <v>0</v>
      </c>
      <c r="AJ49" s="104">
        <v>0</v>
      </c>
      <c r="AK49" s="104">
        <v>0</v>
      </c>
      <c r="AL49" s="126">
        <v>0</v>
      </c>
      <c r="AM49" s="124">
        <v>0</v>
      </c>
      <c r="AN49" s="104">
        <v>0</v>
      </c>
      <c r="AO49" s="104">
        <v>0</v>
      </c>
      <c r="AP49" s="126">
        <v>0</v>
      </c>
      <c r="AQ49" s="124">
        <v>0</v>
      </c>
      <c r="AR49" s="104">
        <v>0</v>
      </c>
      <c r="AS49" s="104">
        <v>0</v>
      </c>
      <c r="AT49" s="126">
        <v>0</v>
      </c>
      <c r="AU49" s="124">
        <v>0</v>
      </c>
      <c r="AV49" s="104">
        <v>0</v>
      </c>
      <c r="AW49" s="104">
        <v>0</v>
      </c>
      <c r="AX49" s="126">
        <v>0</v>
      </c>
      <c r="AY49" s="124">
        <v>0</v>
      </c>
      <c r="AZ49" s="104">
        <v>0</v>
      </c>
      <c r="BA49" s="104">
        <v>0</v>
      </c>
      <c r="BB49" s="126">
        <v>0</v>
      </c>
      <c r="BC49" s="124">
        <v>0</v>
      </c>
      <c r="BD49" s="104">
        <v>0</v>
      </c>
      <c r="BE49" s="104">
        <v>0</v>
      </c>
      <c r="BF49" s="125">
        <v>0</v>
      </c>
      <c r="BG49" s="124">
        <v>0</v>
      </c>
      <c r="BH49" s="104">
        <v>0</v>
      </c>
      <c r="BI49" s="104">
        <v>0</v>
      </c>
      <c r="BJ49" s="125">
        <v>0</v>
      </c>
      <c r="BK49" s="124">
        <v>0</v>
      </c>
      <c r="BL49" s="104">
        <v>0</v>
      </c>
      <c r="BM49" s="104">
        <v>0</v>
      </c>
      <c r="BN49" s="125">
        <v>0</v>
      </c>
      <c r="BO49" s="124" t="e">
        <f>SUMIF('[1]재료비23.01'!$A:$A,[1]생산내역!$B499,'[1]재료비23.01'!$O:$O)</f>
        <v>#VALUE!</v>
      </c>
      <c r="BP49" s="104" t="e">
        <f>SUMIF('[1]재료비23.01'!$A:$A,[1]생산내역!$B499,'[1]재료비23.01'!$P:$P)</f>
        <v>#VALUE!</v>
      </c>
      <c r="BQ49" s="104" t="e">
        <f>SUMIF('[1]재료비23.01'!$A:$A,[1]생산내역!$B499,'[1]재료비23.01'!$Q:$Q)</f>
        <v>#VALUE!</v>
      </c>
      <c r="BR49" s="125" t="e">
        <f>SUMIF('[1]재료비23.01'!$A:$A,[1]생산내역!$B499,'[1]재료비23.01'!$R:$R)</f>
        <v>#VALUE!</v>
      </c>
      <c r="BS49" s="124" t="e">
        <f>SUMIF('[1]재료비23.02'!$A:$A,[1]생산내역!$B499,'[1]재료비23.02'!$O:$O)</f>
        <v>#VALUE!</v>
      </c>
      <c r="BT49" s="104" t="e">
        <f>SUMIF('[1]재료비23.02'!$A:$A,[1]생산내역!$B499,'[1]재료비23.02'!$P:$P)</f>
        <v>#VALUE!</v>
      </c>
      <c r="BU49" s="104" t="e">
        <f>SUMIF('[1]재료비23.02'!$A:$A,[1]생산내역!$B499,'[1]재료비23.02'!$Q:$Q)</f>
        <v>#VALUE!</v>
      </c>
      <c r="BV49" s="125" t="e">
        <f>SUMIF('[1]재료비23.02'!$A:$A,[1]생산내역!$B499,'[1]재료비23.02'!$R:$R)</f>
        <v>#VALUE!</v>
      </c>
    </row>
    <row r="50" spans="2:74" s="12" customFormat="1" ht="15" hidden="1" thickBot="1">
      <c r="B50" s="12" t="str">
        <f>CONCATENATE(E50,O50)</f>
        <v>11030683457041</v>
      </c>
      <c r="C50" s="10" t="str">
        <f t="shared" si="13"/>
        <v>1103068C/F KRC-U12(TEIJIN)</v>
      </c>
      <c r="D50" s="12" t="str">
        <f>CONCATENATE(E50,R50)</f>
        <v>1103068C/F KRC-U12(TEIJIN)</v>
      </c>
      <c r="E50" s="38">
        <f>IF(G50=0,E48,G50)</f>
        <v>1103068</v>
      </c>
      <c r="F50" s="39" t="str">
        <f>IF(H50=0,F46,H50)</f>
        <v>TPAA103(외주)</v>
      </c>
      <c r="G50" s="33"/>
      <c r="H50" s="190"/>
      <c r="I50" s="34" t="s">
        <v>82</v>
      </c>
      <c r="K50" s="38"/>
      <c r="L50" s="41"/>
      <c r="M50" s="41"/>
      <c r="N50" s="42"/>
      <c r="O50" s="166" t="s">
        <v>61</v>
      </c>
      <c r="P50" s="43">
        <f>+O50*1</f>
        <v>3457041</v>
      </c>
      <c r="Q50" s="44" t="str">
        <f>VLOOKUP(P50,[1]A!D:G,3,FALSE)</f>
        <v xml:space="preserve">C/F </v>
      </c>
      <c r="R50" s="45" t="s">
        <v>62</v>
      </c>
      <c r="S50" s="99">
        <v>0</v>
      </c>
      <c r="T50" s="100">
        <v>0</v>
      </c>
      <c r="U50" s="100">
        <v>0</v>
      </c>
      <c r="V50" s="101">
        <v>0</v>
      </c>
      <c r="W50" s="99">
        <v>0</v>
      </c>
      <c r="X50" s="100">
        <v>0</v>
      </c>
      <c r="Y50" s="100">
        <v>0</v>
      </c>
      <c r="Z50" s="101">
        <v>0</v>
      </c>
      <c r="AA50" s="99">
        <v>0</v>
      </c>
      <c r="AB50" s="100">
        <v>0</v>
      </c>
      <c r="AC50" s="100">
        <v>0</v>
      </c>
      <c r="AD50" s="101">
        <v>0</v>
      </c>
      <c r="AE50" s="99">
        <v>0</v>
      </c>
      <c r="AF50" s="100">
        <v>0</v>
      </c>
      <c r="AG50" s="100">
        <v>0</v>
      </c>
      <c r="AH50" s="102">
        <v>0</v>
      </c>
      <c r="AI50" s="99">
        <v>0</v>
      </c>
      <c r="AJ50" s="100">
        <v>0</v>
      </c>
      <c r="AK50" s="100">
        <v>0</v>
      </c>
      <c r="AL50" s="102">
        <v>0</v>
      </c>
      <c r="AM50" s="99">
        <v>0</v>
      </c>
      <c r="AN50" s="100">
        <v>0</v>
      </c>
      <c r="AO50" s="100">
        <v>0</v>
      </c>
      <c r="AP50" s="102">
        <v>0</v>
      </c>
      <c r="AQ50" s="99">
        <v>0</v>
      </c>
      <c r="AR50" s="100">
        <v>0</v>
      </c>
      <c r="AS50" s="100">
        <v>0</v>
      </c>
      <c r="AT50" s="102">
        <v>0</v>
      </c>
      <c r="AU50" s="99">
        <v>0</v>
      </c>
      <c r="AV50" s="100">
        <v>0</v>
      </c>
      <c r="AW50" s="100">
        <v>0</v>
      </c>
      <c r="AX50" s="102">
        <v>0</v>
      </c>
      <c r="AY50" s="99">
        <v>0</v>
      </c>
      <c r="AZ50" s="100">
        <v>0</v>
      </c>
      <c r="BA50" s="100">
        <v>0</v>
      </c>
      <c r="BB50" s="102">
        <v>0</v>
      </c>
      <c r="BC50" s="99">
        <v>0</v>
      </c>
      <c r="BD50" s="100">
        <v>0</v>
      </c>
      <c r="BE50" s="100">
        <v>0</v>
      </c>
      <c r="BF50" s="101">
        <v>0</v>
      </c>
      <c r="BG50" s="99">
        <v>0</v>
      </c>
      <c r="BH50" s="100">
        <v>0</v>
      </c>
      <c r="BI50" s="100">
        <v>0</v>
      </c>
      <c r="BJ50" s="101">
        <v>0</v>
      </c>
      <c r="BK50" s="99">
        <v>0</v>
      </c>
      <c r="BL50" s="100">
        <v>0</v>
      </c>
      <c r="BM50" s="100">
        <v>0</v>
      </c>
      <c r="BN50" s="101">
        <v>0</v>
      </c>
      <c r="BO50" s="99" t="e">
        <f>SUMIF('[1]재료비23.01'!$A:$A,[1]생산내역!$B500,'[1]재료비23.01'!$O:$O)</f>
        <v>#VALUE!</v>
      </c>
      <c r="BP50" s="100" t="e">
        <f>SUMIF('[1]재료비23.01'!$A:$A,[1]생산내역!$B500,'[1]재료비23.01'!$P:$P)</f>
        <v>#VALUE!</v>
      </c>
      <c r="BQ50" s="100" t="e">
        <f>SUMIF('[1]재료비23.01'!$A:$A,[1]생산내역!$B500,'[1]재료비23.01'!$Q:$Q)</f>
        <v>#VALUE!</v>
      </c>
      <c r="BR50" s="101" t="e">
        <f>SUMIF('[1]재료비23.01'!$A:$A,[1]생산내역!$B500,'[1]재료비23.01'!$R:$R)</f>
        <v>#VALUE!</v>
      </c>
      <c r="BS50" s="99" t="e">
        <f>SUMIF('[1]재료비23.02'!$A:$A,[1]생산내역!$B500,'[1]재료비23.02'!$O:$O)</f>
        <v>#VALUE!</v>
      </c>
      <c r="BT50" s="100" t="e">
        <f>SUMIF('[1]재료비23.02'!$A:$A,[1]생산내역!$B500,'[1]재료비23.02'!$P:$P)</f>
        <v>#VALUE!</v>
      </c>
      <c r="BU50" s="100" t="e">
        <f>SUMIF('[1]재료비23.02'!$A:$A,[1]생산내역!$B500,'[1]재료비23.02'!$Q:$Q)</f>
        <v>#VALUE!</v>
      </c>
      <c r="BV50" s="101" t="e">
        <f>SUMIF('[1]재료비23.02'!$A:$A,[1]생산내역!$B500,'[1]재료비23.02'!$R:$R)</f>
        <v>#VALUE!</v>
      </c>
    </row>
    <row r="51" spans="2:74" s="12" customFormat="1" ht="15" hidden="1" thickBot="1">
      <c r="B51" s="12" t="str">
        <f>CONCATENATE(E51,O51)</f>
        <v>11030683457031</v>
      </c>
      <c r="C51" s="10" t="str">
        <f t="shared" si="13"/>
        <v>1103068C/F CT+SM45D-06-50</v>
      </c>
      <c r="D51" s="12" t="str">
        <f>CONCATENATE(E51,R51)</f>
        <v>1103068C/F CT+SM45D-06-50</v>
      </c>
      <c r="E51" s="38">
        <f>IF(G51=0,E49,G51)</f>
        <v>1103068</v>
      </c>
      <c r="F51" s="39" t="str">
        <f>IF(H51=0,F47,H51)</f>
        <v>TPAA103(외주)</v>
      </c>
      <c r="G51" s="33"/>
      <c r="H51" s="190"/>
      <c r="I51" s="34" t="s">
        <v>82</v>
      </c>
      <c r="K51" s="38"/>
      <c r="L51" s="41"/>
      <c r="M51" s="41"/>
      <c r="N51" s="42"/>
      <c r="O51" s="166">
        <v>3457031</v>
      </c>
      <c r="P51" s="43">
        <f t="shared" si="15"/>
        <v>3457031</v>
      </c>
      <c r="Q51" s="44" t="str">
        <f>VLOOKUP(P51,[1]A!D:G,3,FALSE)</f>
        <v>C/F</v>
      </c>
      <c r="R51" s="45" t="s">
        <v>58</v>
      </c>
      <c r="S51" s="99">
        <v>0</v>
      </c>
      <c r="T51" s="100">
        <v>0</v>
      </c>
      <c r="U51" s="100">
        <v>0</v>
      </c>
      <c r="V51" s="101">
        <v>0</v>
      </c>
      <c r="W51" s="99">
        <v>0</v>
      </c>
      <c r="X51" s="100">
        <v>0</v>
      </c>
      <c r="Y51" s="100">
        <v>0</v>
      </c>
      <c r="Z51" s="101">
        <v>0</v>
      </c>
      <c r="AA51" s="99">
        <v>0</v>
      </c>
      <c r="AB51" s="100">
        <v>0</v>
      </c>
      <c r="AC51" s="100">
        <v>0</v>
      </c>
      <c r="AD51" s="101">
        <v>0</v>
      </c>
      <c r="AE51" s="99">
        <v>0</v>
      </c>
      <c r="AF51" s="100">
        <v>0</v>
      </c>
      <c r="AG51" s="100">
        <v>0</v>
      </c>
      <c r="AH51" s="102">
        <v>0</v>
      </c>
      <c r="AI51" s="99">
        <v>0</v>
      </c>
      <c r="AJ51" s="100">
        <v>0</v>
      </c>
      <c r="AK51" s="100">
        <v>0</v>
      </c>
      <c r="AL51" s="102">
        <v>0</v>
      </c>
      <c r="AM51" s="99">
        <v>0</v>
      </c>
      <c r="AN51" s="100">
        <v>0</v>
      </c>
      <c r="AO51" s="100">
        <v>0</v>
      </c>
      <c r="AP51" s="102">
        <v>0</v>
      </c>
      <c r="AQ51" s="99">
        <v>0</v>
      </c>
      <c r="AR51" s="100">
        <v>0</v>
      </c>
      <c r="AS51" s="100">
        <v>0</v>
      </c>
      <c r="AT51" s="102">
        <v>0</v>
      </c>
      <c r="AU51" s="99">
        <v>0</v>
      </c>
      <c r="AV51" s="100">
        <v>0</v>
      </c>
      <c r="AW51" s="100">
        <v>0</v>
      </c>
      <c r="AX51" s="102">
        <v>0</v>
      </c>
      <c r="AY51" s="99">
        <v>0</v>
      </c>
      <c r="AZ51" s="100">
        <v>0</v>
      </c>
      <c r="BA51" s="100">
        <v>0</v>
      </c>
      <c r="BB51" s="102">
        <v>0</v>
      </c>
      <c r="BC51" s="99">
        <v>0</v>
      </c>
      <c r="BD51" s="100">
        <v>0</v>
      </c>
      <c r="BE51" s="100">
        <v>0</v>
      </c>
      <c r="BF51" s="101">
        <v>0</v>
      </c>
      <c r="BG51" s="99">
        <v>0</v>
      </c>
      <c r="BH51" s="100">
        <v>0</v>
      </c>
      <c r="BI51" s="100">
        <v>0</v>
      </c>
      <c r="BJ51" s="101">
        <v>0</v>
      </c>
      <c r="BK51" s="99">
        <v>0</v>
      </c>
      <c r="BL51" s="100">
        <v>0</v>
      </c>
      <c r="BM51" s="100">
        <v>0</v>
      </c>
      <c r="BN51" s="101">
        <v>0</v>
      </c>
      <c r="BO51" s="99" t="e">
        <f>SUMIF('[1]재료비23.01'!$A:$A,[1]생산내역!$B501,'[1]재료비23.01'!$O:$O)</f>
        <v>#VALUE!</v>
      </c>
      <c r="BP51" s="100" t="e">
        <f>SUMIF('[1]재료비23.01'!$A:$A,[1]생산내역!$B501,'[1]재료비23.01'!$P:$P)</f>
        <v>#VALUE!</v>
      </c>
      <c r="BQ51" s="100" t="e">
        <f>SUMIF('[1]재료비23.01'!$A:$A,[1]생산내역!$B501,'[1]재료비23.01'!$Q:$Q)</f>
        <v>#VALUE!</v>
      </c>
      <c r="BR51" s="101" t="e">
        <f>SUMIF('[1]재료비23.01'!$A:$A,[1]생산내역!$B501,'[1]재료비23.01'!$R:$R)</f>
        <v>#VALUE!</v>
      </c>
      <c r="BS51" s="99" t="e">
        <f>SUMIF('[1]재료비23.02'!$A:$A,[1]생산내역!$B501,'[1]재료비23.02'!$O:$O)</f>
        <v>#VALUE!</v>
      </c>
      <c r="BT51" s="100" t="e">
        <f>SUMIF('[1]재료비23.02'!$A:$A,[1]생산내역!$B501,'[1]재료비23.02'!$P:$P)</f>
        <v>#VALUE!</v>
      </c>
      <c r="BU51" s="100" t="e">
        <f>SUMIF('[1]재료비23.02'!$A:$A,[1]생산내역!$B501,'[1]재료비23.02'!$Q:$Q)</f>
        <v>#VALUE!</v>
      </c>
      <c r="BV51" s="101" t="e">
        <f>SUMIF('[1]재료비23.02'!$A:$A,[1]생산내역!$B501,'[1]재료비23.02'!$R:$R)</f>
        <v>#VALUE!</v>
      </c>
    </row>
    <row r="52" spans="2:74" s="12" customFormat="1" ht="15" hidden="1" thickBot="1">
      <c r="C52" s="10" t="str">
        <f t="shared" si="13"/>
        <v>1103068C/F</v>
      </c>
      <c r="E52" s="38">
        <f>IF(G52=0,E51,G52)</f>
        <v>1103068</v>
      </c>
      <c r="F52" s="39"/>
      <c r="G52" s="33"/>
      <c r="H52" s="190"/>
      <c r="I52" s="34" t="s">
        <v>82</v>
      </c>
      <c r="K52" s="38"/>
      <c r="L52" s="41"/>
      <c r="M52" s="41"/>
      <c r="N52" s="42"/>
      <c r="O52" s="166"/>
      <c r="P52" s="167"/>
      <c r="Q52" s="168">
        <f>VLOOKUP(P52,[1]A!D:G,3,FALSE)</f>
        <v>0</v>
      </c>
      <c r="R52" s="50" t="str">
        <f>+Q51</f>
        <v>C/F</v>
      </c>
      <c r="S52" s="107">
        <v>0</v>
      </c>
      <c r="T52" s="108">
        <v>0</v>
      </c>
      <c r="U52" s="108">
        <v>0</v>
      </c>
      <c r="V52" s="122">
        <v>0</v>
      </c>
      <c r="W52" s="107">
        <v>0</v>
      </c>
      <c r="X52" s="108">
        <v>0</v>
      </c>
      <c r="Y52" s="108">
        <v>0</v>
      </c>
      <c r="Z52" s="122">
        <v>0</v>
      </c>
      <c r="AA52" s="107">
        <v>0</v>
      </c>
      <c r="AB52" s="108">
        <v>0</v>
      </c>
      <c r="AC52" s="108">
        <v>0</v>
      </c>
      <c r="AD52" s="122">
        <v>0</v>
      </c>
      <c r="AE52" s="107">
        <v>0</v>
      </c>
      <c r="AF52" s="108">
        <v>0</v>
      </c>
      <c r="AG52" s="108">
        <v>0</v>
      </c>
      <c r="AH52" s="109">
        <v>0</v>
      </c>
      <c r="AI52" s="107">
        <v>0</v>
      </c>
      <c r="AJ52" s="108">
        <v>0</v>
      </c>
      <c r="AK52" s="108">
        <v>0</v>
      </c>
      <c r="AL52" s="109">
        <v>0</v>
      </c>
      <c r="AM52" s="107">
        <v>0</v>
      </c>
      <c r="AN52" s="108">
        <v>0</v>
      </c>
      <c r="AO52" s="108">
        <v>0</v>
      </c>
      <c r="AP52" s="109">
        <v>0</v>
      </c>
      <c r="AQ52" s="107">
        <v>0</v>
      </c>
      <c r="AR52" s="108">
        <v>0</v>
      </c>
      <c r="AS52" s="108">
        <v>0</v>
      </c>
      <c r="AT52" s="109">
        <v>0</v>
      </c>
      <c r="AU52" s="107">
        <v>0</v>
      </c>
      <c r="AV52" s="108">
        <v>0</v>
      </c>
      <c r="AW52" s="108">
        <v>0</v>
      </c>
      <c r="AX52" s="109">
        <v>0</v>
      </c>
      <c r="AY52" s="107">
        <v>0</v>
      </c>
      <c r="AZ52" s="108">
        <v>0</v>
      </c>
      <c r="BA52" s="108">
        <v>0</v>
      </c>
      <c r="BB52" s="109">
        <v>0</v>
      </c>
      <c r="BC52" s="107">
        <v>0</v>
      </c>
      <c r="BD52" s="108">
        <v>0</v>
      </c>
      <c r="BE52" s="108">
        <v>0</v>
      </c>
      <c r="BF52" s="122">
        <v>0</v>
      </c>
      <c r="BG52" s="107">
        <v>0</v>
      </c>
      <c r="BH52" s="108">
        <v>0</v>
      </c>
      <c r="BI52" s="108">
        <v>0</v>
      </c>
      <c r="BJ52" s="122">
        <v>0</v>
      </c>
      <c r="BK52" s="107">
        <v>0</v>
      </c>
      <c r="BL52" s="108">
        <v>0</v>
      </c>
      <c r="BM52" s="108">
        <v>0</v>
      </c>
      <c r="BN52" s="122">
        <v>0</v>
      </c>
      <c r="BO52" s="107" t="e">
        <f>SUM(BO50:BO51)</f>
        <v>#VALUE!</v>
      </c>
      <c r="BP52" s="108" t="e">
        <f>SUM(BP50:BP51)</f>
        <v>#VALUE!</v>
      </c>
      <c r="BQ52" s="108">
        <f>IFERROR(+BR52/BP52,0)</f>
        <v>0</v>
      </c>
      <c r="BR52" s="122" t="e">
        <f>SUM(BR50:BR51)</f>
        <v>#VALUE!</v>
      </c>
      <c r="BS52" s="107" t="e">
        <f>SUM(BS50:BS51)</f>
        <v>#VALUE!</v>
      </c>
      <c r="BT52" s="108" t="e">
        <f>SUM(BT50:BT51)</f>
        <v>#VALUE!</v>
      </c>
      <c r="BU52" s="108">
        <f>IFERROR(+BV52/BT52,0)</f>
        <v>0</v>
      </c>
      <c r="BV52" s="122" t="e">
        <f>SUM(BV50:BV51)</f>
        <v>#VALUE!</v>
      </c>
    </row>
    <row r="53" spans="2:74" s="12" customFormat="1" ht="15" hidden="1" thickBot="1">
      <c r="B53" s="12" t="str">
        <f>CONCATENATE(E53,O53)</f>
        <v>11030683459002</v>
      </c>
      <c r="C53" s="10" t="str">
        <f t="shared" si="13"/>
        <v>1103068G/F KCC-CS311/395</v>
      </c>
      <c r="D53" s="12" t="str">
        <f>CONCATENATE(E53,R53)</f>
        <v>1103068G/F KCC-CS311/395</v>
      </c>
      <c r="E53" s="38">
        <f>IF(G53=0,E50,G53)</f>
        <v>1103068</v>
      </c>
      <c r="F53" s="39">
        <f>IF(H53=0,F48,H53)</f>
        <v>0</v>
      </c>
      <c r="G53" s="33"/>
      <c r="H53" s="190"/>
      <c r="I53" s="34" t="s">
        <v>82</v>
      </c>
      <c r="K53" s="38"/>
      <c r="L53" s="41"/>
      <c r="M53" s="41"/>
      <c r="N53" s="42"/>
      <c r="O53" s="166" t="s">
        <v>86</v>
      </c>
      <c r="P53" s="43">
        <f>+O53*1</f>
        <v>3459002</v>
      </c>
      <c r="Q53" s="44" t="str">
        <f>VLOOKUP(P53,[1]A!D:G,3,FALSE)</f>
        <v>G/F</v>
      </c>
      <c r="R53" s="45" t="s">
        <v>63</v>
      </c>
      <c r="S53" s="99">
        <v>0</v>
      </c>
      <c r="T53" s="100">
        <v>0</v>
      </c>
      <c r="U53" s="100">
        <v>0</v>
      </c>
      <c r="V53" s="101">
        <v>0</v>
      </c>
      <c r="W53" s="99">
        <v>0</v>
      </c>
      <c r="X53" s="100">
        <v>0</v>
      </c>
      <c r="Y53" s="100">
        <v>0</v>
      </c>
      <c r="Z53" s="101">
        <v>0</v>
      </c>
      <c r="AA53" s="99">
        <v>0</v>
      </c>
      <c r="AB53" s="100">
        <v>0</v>
      </c>
      <c r="AC53" s="100">
        <v>0</v>
      </c>
      <c r="AD53" s="101">
        <v>0</v>
      </c>
      <c r="AE53" s="99">
        <v>0</v>
      </c>
      <c r="AF53" s="100">
        <v>0</v>
      </c>
      <c r="AG53" s="100">
        <v>0</v>
      </c>
      <c r="AH53" s="102">
        <v>0</v>
      </c>
      <c r="AI53" s="99">
        <v>0</v>
      </c>
      <c r="AJ53" s="100">
        <v>0</v>
      </c>
      <c r="AK53" s="100">
        <v>0</v>
      </c>
      <c r="AL53" s="102">
        <v>0</v>
      </c>
      <c r="AM53" s="99">
        <v>0</v>
      </c>
      <c r="AN53" s="100">
        <v>0</v>
      </c>
      <c r="AO53" s="100">
        <v>0</v>
      </c>
      <c r="AP53" s="102">
        <v>0</v>
      </c>
      <c r="AQ53" s="99">
        <v>0</v>
      </c>
      <c r="AR53" s="100">
        <v>0</v>
      </c>
      <c r="AS53" s="100">
        <v>0</v>
      </c>
      <c r="AT53" s="102">
        <v>0</v>
      </c>
      <c r="AU53" s="99">
        <v>0</v>
      </c>
      <c r="AV53" s="100">
        <v>0</v>
      </c>
      <c r="AW53" s="100">
        <v>0</v>
      </c>
      <c r="AX53" s="102">
        <v>0</v>
      </c>
      <c r="AY53" s="99">
        <v>0</v>
      </c>
      <c r="AZ53" s="100">
        <v>0</v>
      </c>
      <c r="BA53" s="100">
        <v>0</v>
      </c>
      <c r="BB53" s="102">
        <v>0</v>
      </c>
      <c r="BC53" s="99">
        <v>0</v>
      </c>
      <c r="BD53" s="100">
        <v>0</v>
      </c>
      <c r="BE53" s="100">
        <v>0</v>
      </c>
      <c r="BF53" s="101">
        <v>0</v>
      </c>
      <c r="BG53" s="99">
        <v>0</v>
      </c>
      <c r="BH53" s="100">
        <v>0</v>
      </c>
      <c r="BI53" s="100">
        <v>0</v>
      </c>
      <c r="BJ53" s="101">
        <v>0</v>
      </c>
      <c r="BK53" s="99">
        <v>0</v>
      </c>
      <c r="BL53" s="100">
        <v>0</v>
      </c>
      <c r="BM53" s="100">
        <v>0</v>
      </c>
      <c r="BN53" s="101">
        <v>0</v>
      </c>
      <c r="BO53" s="99" t="e">
        <f>SUMIF('[1]재료비23.01'!$A:$A,[1]생산내역!$B503,'[1]재료비23.01'!$O:$O)</f>
        <v>#VALUE!</v>
      </c>
      <c r="BP53" s="100" t="e">
        <f>SUMIF('[1]재료비23.01'!$A:$A,[1]생산내역!$B503,'[1]재료비23.01'!$P:$P)</f>
        <v>#VALUE!</v>
      </c>
      <c r="BQ53" s="100" t="e">
        <f>SUMIF('[1]재료비23.01'!$A:$A,[1]생산내역!$B503,'[1]재료비23.01'!$Q:$Q)</f>
        <v>#VALUE!</v>
      </c>
      <c r="BR53" s="101" t="e">
        <f>SUMIF('[1]재료비23.01'!$A:$A,[1]생산내역!$B503,'[1]재료비23.01'!$R:$R)</f>
        <v>#VALUE!</v>
      </c>
      <c r="BS53" s="99" t="e">
        <f>SUMIF('[1]재료비23.02'!$A:$A,[1]생산내역!$B503,'[1]재료비23.02'!$O:$O)</f>
        <v>#VALUE!</v>
      </c>
      <c r="BT53" s="100" t="e">
        <f>SUMIF('[1]재료비23.02'!$A:$A,[1]생산내역!$B503,'[1]재료비23.02'!$P:$P)</f>
        <v>#VALUE!</v>
      </c>
      <c r="BU53" s="100" t="e">
        <f>SUMIF('[1]재료비23.02'!$A:$A,[1]생산내역!$B503,'[1]재료비23.02'!$Q:$Q)</f>
        <v>#VALUE!</v>
      </c>
      <c r="BV53" s="101" t="e">
        <f>SUMIF('[1]재료비23.02'!$A:$A,[1]생산내역!$B503,'[1]재료비23.02'!$R:$R)</f>
        <v>#VALUE!</v>
      </c>
    </row>
    <row r="54" spans="2:74" s="12" customFormat="1" ht="15" hidden="1" thickBot="1">
      <c r="B54" s="12" t="str">
        <f>CONCATENATE(E54,O54)</f>
        <v>11030683459011</v>
      </c>
      <c r="C54" s="10" t="str">
        <f t="shared" si="13"/>
        <v>1103068G/F T435N(태산)</v>
      </c>
      <c r="D54" s="12" t="str">
        <f>CONCATENATE(E54,R54)</f>
        <v>1103068G/F T435N(태산)</v>
      </c>
      <c r="E54" s="38">
        <f>IF(G54=0,E51,G54)</f>
        <v>1103068</v>
      </c>
      <c r="F54" s="39" t="str">
        <f>IF(H54=0,F49,H54)</f>
        <v>TPAA103(외주)</v>
      </c>
      <c r="G54" s="33"/>
      <c r="H54" s="190"/>
      <c r="I54" s="34" t="s">
        <v>82</v>
      </c>
      <c r="K54" s="38"/>
      <c r="L54" s="41"/>
      <c r="M54" s="41"/>
      <c r="N54" s="42"/>
      <c r="O54" s="166">
        <v>3459011</v>
      </c>
      <c r="P54" s="43">
        <f t="shared" si="15"/>
        <v>3459011</v>
      </c>
      <c r="Q54" s="44" t="str">
        <f>VLOOKUP(P54,[1]A!D:G,3,FALSE)</f>
        <v>G/F</v>
      </c>
      <c r="R54" s="45" t="s">
        <v>87</v>
      </c>
      <c r="S54" s="99">
        <v>0</v>
      </c>
      <c r="T54" s="100">
        <v>0</v>
      </c>
      <c r="U54" s="100">
        <v>0</v>
      </c>
      <c r="V54" s="101">
        <v>0</v>
      </c>
      <c r="W54" s="99">
        <v>0</v>
      </c>
      <c r="X54" s="100">
        <v>0</v>
      </c>
      <c r="Y54" s="100">
        <v>0</v>
      </c>
      <c r="Z54" s="101">
        <v>0</v>
      </c>
      <c r="AA54" s="99">
        <v>0</v>
      </c>
      <c r="AB54" s="100">
        <v>0</v>
      </c>
      <c r="AC54" s="100">
        <v>0</v>
      </c>
      <c r="AD54" s="101">
        <v>0</v>
      </c>
      <c r="AE54" s="99">
        <v>0</v>
      </c>
      <c r="AF54" s="100">
        <v>0</v>
      </c>
      <c r="AG54" s="100">
        <v>0</v>
      </c>
      <c r="AH54" s="102">
        <v>0</v>
      </c>
      <c r="AI54" s="99">
        <v>0</v>
      </c>
      <c r="AJ54" s="100">
        <v>0</v>
      </c>
      <c r="AK54" s="100">
        <v>0</v>
      </c>
      <c r="AL54" s="102">
        <v>0</v>
      </c>
      <c r="AM54" s="99">
        <v>0</v>
      </c>
      <c r="AN54" s="100">
        <v>0</v>
      </c>
      <c r="AO54" s="100">
        <v>0</v>
      </c>
      <c r="AP54" s="102">
        <v>0</v>
      </c>
      <c r="AQ54" s="99">
        <v>0</v>
      </c>
      <c r="AR54" s="100">
        <v>0</v>
      </c>
      <c r="AS54" s="100">
        <v>0</v>
      </c>
      <c r="AT54" s="102">
        <v>0</v>
      </c>
      <c r="AU54" s="99">
        <v>0</v>
      </c>
      <c r="AV54" s="100">
        <v>0</v>
      </c>
      <c r="AW54" s="100">
        <v>0</v>
      </c>
      <c r="AX54" s="102">
        <v>0</v>
      </c>
      <c r="AY54" s="99">
        <v>0</v>
      </c>
      <c r="AZ54" s="100">
        <v>0</v>
      </c>
      <c r="BA54" s="100">
        <v>0</v>
      </c>
      <c r="BB54" s="102">
        <v>0</v>
      </c>
      <c r="BC54" s="99">
        <v>0</v>
      </c>
      <c r="BD54" s="100">
        <v>0</v>
      </c>
      <c r="BE54" s="100">
        <v>0</v>
      </c>
      <c r="BF54" s="101">
        <v>0</v>
      </c>
      <c r="BG54" s="99">
        <v>0</v>
      </c>
      <c r="BH54" s="100">
        <v>0</v>
      </c>
      <c r="BI54" s="100">
        <v>0</v>
      </c>
      <c r="BJ54" s="101">
        <v>0</v>
      </c>
      <c r="BK54" s="99">
        <v>0</v>
      </c>
      <c r="BL54" s="100">
        <v>0</v>
      </c>
      <c r="BM54" s="100">
        <v>0</v>
      </c>
      <c r="BN54" s="101">
        <v>0</v>
      </c>
      <c r="BO54" s="99" t="e">
        <f>SUMIF('[1]재료비23.01'!$A:$A,[1]생산내역!$B504,'[1]재료비23.01'!$O:$O)</f>
        <v>#VALUE!</v>
      </c>
      <c r="BP54" s="100" t="e">
        <f>SUMIF('[1]재료비23.01'!$A:$A,[1]생산내역!$B504,'[1]재료비23.01'!$P:$P)</f>
        <v>#VALUE!</v>
      </c>
      <c r="BQ54" s="100" t="e">
        <f>SUMIF('[1]재료비23.01'!$A:$A,[1]생산내역!$B504,'[1]재료비23.01'!$Q:$Q)</f>
        <v>#VALUE!</v>
      </c>
      <c r="BR54" s="101" t="e">
        <f>SUMIF('[1]재료비23.01'!$A:$A,[1]생산내역!$B504,'[1]재료비23.01'!$R:$R)</f>
        <v>#VALUE!</v>
      </c>
      <c r="BS54" s="99" t="e">
        <f>SUMIF('[1]재료비23.02'!$A:$A,[1]생산내역!$B504,'[1]재료비23.02'!$O:$O)</f>
        <v>#VALUE!</v>
      </c>
      <c r="BT54" s="100" t="e">
        <f>SUMIF('[1]재료비23.02'!$A:$A,[1]생산내역!$B504,'[1]재료비23.02'!$P:$P)</f>
        <v>#VALUE!</v>
      </c>
      <c r="BU54" s="100" t="e">
        <f>SUMIF('[1]재료비23.02'!$A:$A,[1]생산내역!$B504,'[1]재료비23.02'!$Q:$Q)</f>
        <v>#VALUE!</v>
      </c>
      <c r="BV54" s="101" t="e">
        <f>SUMIF('[1]재료비23.02'!$A:$A,[1]생산내역!$B504,'[1]재료비23.02'!$R:$R)</f>
        <v>#VALUE!</v>
      </c>
    </row>
    <row r="55" spans="2:74" s="12" customFormat="1" ht="15" hidden="1" thickBot="1">
      <c r="C55" s="10" t="str">
        <f t="shared" si="13"/>
        <v>1103068G/F</v>
      </c>
      <c r="E55" s="38">
        <f>IF(G55=0,E54,G55)</f>
        <v>1103068</v>
      </c>
      <c r="F55" s="39"/>
      <c r="G55" s="33"/>
      <c r="H55" s="190"/>
      <c r="I55" s="34" t="s">
        <v>82</v>
      </c>
      <c r="K55" s="38"/>
      <c r="L55" s="41"/>
      <c r="M55" s="41"/>
      <c r="N55" s="42"/>
      <c r="O55" s="166"/>
      <c r="P55" s="167"/>
      <c r="Q55" s="168">
        <f>VLOOKUP(P55,[1]A!D:G,3,FALSE)</f>
        <v>0</v>
      </c>
      <c r="R55" s="50" t="str">
        <f>+Q54</f>
        <v>G/F</v>
      </c>
      <c r="S55" s="107">
        <v>0</v>
      </c>
      <c r="T55" s="108">
        <v>0</v>
      </c>
      <c r="U55" s="108">
        <v>0</v>
      </c>
      <c r="V55" s="122">
        <v>0</v>
      </c>
      <c r="W55" s="107">
        <v>0</v>
      </c>
      <c r="X55" s="108">
        <v>0</v>
      </c>
      <c r="Y55" s="108">
        <v>0</v>
      </c>
      <c r="Z55" s="122">
        <v>0</v>
      </c>
      <c r="AA55" s="107">
        <v>0</v>
      </c>
      <c r="AB55" s="108">
        <v>0</v>
      </c>
      <c r="AC55" s="108">
        <v>0</v>
      </c>
      <c r="AD55" s="122">
        <v>0</v>
      </c>
      <c r="AE55" s="107">
        <v>0</v>
      </c>
      <c r="AF55" s="108">
        <v>0</v>
      </c>
      <c r="AG55" s="108">
        <v>0</v>
      </c>
      <c r="AH55" s="109">
        <v>0</v>
      </c>
      <c r="AI55" s="107">
        <v>0</v>
      </c>
      <c r="AJ55" s="108">
        <v>0</v>
      </c>
      <c r="AK55" s="108">
        <v>0</v>
      </c>
      <c r="AL55" s="109">
        <v>0</v>
      </c>
      <c r="AM55" s="107">
        <v>0</v>
      </c>
      <c r="AN55" s="108">
        <v>0</v>
      </c>
      <c r="AO55" s="108">
        <v>0</v>
      </c>
      <c r="AP55" s="109">
        <v>0</v>
      </c>
      <c r="AQ55" s="107">
        <v>0</v>
      </c>
      <c r="AR55" s="108">
        <v>0</v>
      </c>
      <c r="AS55" s="108">
        <v>0</v>
      </c>
      <c r="AT55" s="109">
        <v>0</v>
      </c>
      <c r="AU55" s="107">
        <v>0</v>
      </c>
      <c r="AV55" s="108">
        <v>0</v>
      </c>
      <c r="AW55" s="108">
        <v>0</v>
      </c>
      <c r="AX55" s="109">
        <v>0</v>
      </c>
      <c r="AY55" s="107">
        <v>0</v>
      </c>
      <c r="AZ55" s="108">
        <v>0</v>
      </c>
      <c r="BA55" s="108">
        <v>0</v>
      </c>
      <c r="BB55" s="109">
        <v>0</v>
      </c>
      <c r="BC55" s="107">
        <v>0</v>
      </c>
      <c r="BD55" s="108">
        <v>0</v>
      </c>
      <c r="BE55" s="108">
        <v>0</v>
      </c>
      <c r="BF55" s="122">
        <v>0</v>
      </c>
      <c r="BG55" s="107">
        <v>0</v>
      </c>
      <c r="BH55" s="108">
        <v>0</v>
      </c>
      <c r="BI55" s="108">
        <v>0</v>
      </c>
      <c r="BJ55" s="122">
        <v>0</v>
      </c>
      <c r="BK55" s="107">
        <v>0</v>
      </c>
      <c r="BL55" s="108">
        <v>0</v>
      </c>
      <c r="BM55" s="108">
        <v>0</v>
      </c>
      <c r="BN55" s="122">
        <v>0</v>
      </c>
      <c r="BO55" s="107" t="e">
        <f>+BO53+BO54</f>
        <v>#VALUE!</v>
      </c>
      <c r="BP55" s="108" t="e">
        <f>+BP53+BP54</f>
        <v>#VALUE!</v>
      </c>
      <c r="BQ55" s="108">
        <f>IFERROR(+BR55/BP55,0)</f>
        <v>0</v>
      </c>
      <c r="BR55" s="122" t="e">
        <f>+BR53+BR54</f>
        <v>#VALUE!</v>
      </c>
      <c r="BS55" s="107" t="e">
        <f>+BS53+BS54</f>
        <v>#VALUE!</v>
      </c>
      <c r="BT55" s="108" t="e">
        <f>+BT53+BT54</f>
        <v>#VALUE!</v>
      </c>
      <c r="BU55" s="108">
        <f>IFERROR(+BV55/BT55,0)</f>
        <v>0</v>
      </c>
      <c r="BV55" s="122" t="e">
        <f>+BV53+BV54</f>
        <v>#VALUE!</v>
      </c>
    </row>
    <row r="56" spans="2:74" s="137" customFormat="1" ht="15" hidden="1" thickBot="1">
      <c r="B56" s="160" t="str">
        <f>CONCATENATE(E56,O56)</f>
        <v>1103068</v>
      </c>
      <c r="C56" s="10" t="str">
        <f t="shared" si="13"/>
        <v>1103068생산투입</v>
      </c>
      <c r="D56" s="12" t="str">
        <f t="shared" ref="D56:D64" si="16">CONCATENATE(E56,R56)</f>
        <v>1103068생산투입</v>
      </c>
      <c r="E56" s="38">
        <f>IF(G56=0,E54,G56)</f>
        <v>1103068</v>
      </c>
      <c r="F56" s="141" t="str">
        <f>CONCATENATE(F46,R56)</f>
        <v>TPAA103(외주)생산투입</v>
      </c>
      <c r="G56" s="33"/>
      <c r="H56" s="190"/>
      <c r="I56" s="34" t="s">
        <v>82</v>
      </c>
      <c r="J56" s="61"/>
      <c r="K56" s="59"/>
      <c r="L56" s="62"/>
      <c r="M56" s="62"/>
      <c r="N56" s="63"/>
      <c r="O56" s="169"/>
      <c r="P56" s="170">
        <f t="shared" si="15"/>
        <v>0</v>
      </c>
      <c r="Q56" s="65">
        <f>VLOOKUP(P56,[1]A!D:G,3,FALSE)</f>
        <v>0</v>
      </c>
      <c r="R56" s="66" t="s">
        <v>75</v>
      </c>
      <c r="S56" s="111">
        <v>0</v>
      </c>
      <c r="T56" s="112">
        <v>0</v>
      </c>
      <c r="U56" s="112">
        <v>0</v>
      </c>
      <c r="V56" s="113">
        <v>0</v>
      </c>
      <c r="W56" s="111">
        <v>0</v>
      </c>
      <c r="X56" s="112">
        <v>0</v>
      </c>
      <c r="Y56" s="112">
        <v>0</v>
      </c>
      <c r="Z56" s="113">
        <v>0</v>
      </c>
      <c r="AA56" s="111">
        <v>0</v>
      </c>
      <c r="AB56" s="112">
        <v>0</v>
      </c>
      <c r="AC56" s="112">
        <v>0</v>
      </c>
      <c r="AD56" s="113">
        <v>0</v>
      </c>
      <c r="AE56" s="111">
        <v>0</v>
      </c>
      <c r="AF56" s="112">
        <v>0</v>
      </c>
      <c r="AG56" s="112">
        <v>0</v>
      </c>
      <c r="AH56" s="114">
        <v>0</v>
      </c>
      <c r="AI56" s="111">
        <v>0</v>
      </c>
      <c r="AJ56" s="112">
        <v>0</v>
      </c>
      <c r="AK56" s="112">
        <v>0</v>
      </c>
      <c r="AL56" s="114">
        <v>0</v>
      </c>
      <c r="AM56" s="111">
        <v>0</v>
      </c>
      <c r="AN56" s="112">
        <v>0</v>
      </c>
      <c r="AO56" s="112">
        <v>0</v>
      </c>
      <c r="AP56" s="114">
        <v>0</v>
      </c>
      <c r="AQ56" s="111">
        <v>0</v>
      </c>
      <c r="AR56" s="112">
        <v>0</v>
      </c>
      <c r="AS56" s="112">
        <v>0</v>
      </c>
      <c r="AT56" s="114">
        <v>0</v>
      </c>
      <c r="AU56" s="111">
        <v>0</v>
      </c>
      <c r="AV56" s="112">
        <v>0</v>
      </c>
      <c r="AW56" s="112">
        <v>0</v>
      </c>
      <c r="AX56" s="114">
        <v>0</v>
      </c>
      <c r="AY56" s="111">
        <v>0</v>
      </c>
      <c r="AZ56" s="112">
        <v>0</v>
      </c>
      <c r="BA56" s="112">
        <v>0</v>
      </c>
      <c r="BB56" s="114">
        <v>0</v>
      </c>
      <c r="BC56" s="111">
        <v>0</v>
      </c>
      <c r="BD56" s="112">
        <v>0</v>
      </c>
      <c r="BE56" s="112">
        <v>0</v>
      </c>
      <c r="BF56" s="113">
        <v>0</v>
      </c>
      <c r="BG56" s="111">
        <v>0</v>
      </c>
      <c r="BH56" s="112">
        <v>0</v>
      </c>
      <c r="BI56" s="112">
        <v>0</v>
      </c>
      <c r="BJ56" s="113">
        <v>0</v>
      </c>
      <c r="BK56" s="111">
        <v>0</v>
      </c>
      <c r="BL56" s="112">
        <v>0</v>
      </c>
      <c r="BM56" s="112">
        <v>0</v>
      </c>
      <c r="BN56" s="113">
        <v>0</v>
      </c>
      <c r="BO56" s="111" t="e">
        <f>SUM(BO45:BO55)-BO48-BO52-BO55</f>
        <v>#VALUE!</v>
      </c>
      <c r="BP56" s="112" t="e">
        <f>SUM(BP45:BP55)-BP48-BP52-BP55</f>
        <v>#VALUE!</v>
      </c>
      <c r="BQ56" s="112">
        <f>IFERROR(+BR56/BP56,0)</f>
        <v>0</v>
      </c>
      <c r="BR56" s="113" t="e">
        <f>SUM(BR45:BR55)-BR48-BR52-BR55</f>
        <v>#VALUE!</v>
      </c>
      <c r="BS56" s="111" t="e">
        <f>SUM(BS45:BS55)-BS48-BS52-BS55</f>
        <v>#VALUE!</v>
      </c>
      <c r="BT56" s="112" t="e">
        <f>SUM(BT45:BT55)-BT48-BT52-BT55</f>
        <v>#VALUE!</v>
      </c>
      <c r="BU56" s="112">
        <f>IFERROR(+BV56/BT56,0)</f>
        <v>0</v>
      </c>
      <c r="BV56" s="113" t="e">
        <f>SUM(BV45:BV55)-BV48-BV52-BV55</f>
        <v>#VALUE!</v>
      </c>
    </row>
    <row r="57" spans="2:74" s="137" customFormat="1" ht="15" hidden="1" thickBot="1">
      <c r="B57" s="139"/>
      <c r="C57" s="10" t="str">
        <f t="shared" si="13"/>
        <v>1103068Loss</v>
      </c>
      <c r="D57" s="12" t="str">
        <f t="shared" si="16"/>
        <v>1103068Loss</v>
      </c>
      <c r="E57" s="38">
        <f t="shared" si="3"/>
        <v>1103068</v>
      </c>
      <c r="F57" s="78"/>
      <c r="G57" s="33"/>
      <c r="H57" s="190"/>
      <c r="I57" s="34" t="s">
        <v>82</v>
      </c>
      <c r="J57" s="68"/>
      <c r="K57" s="69"/>
      <c r="L57" s="70"/>
      <c r="M57" s="70"/>
      <c r="N57" s="71"/>
      <c r="O57" s="169"/>
      <c r="P57" s="171">
        <f t="shared" si="15"/>
        <v>0</v>
      </c>
      <c r="Q57" s="73">
        <f>VLOOKUP(P57,[1]A!D:G,3,FALSE)</f>
        <v>0</v>
      </c>
      <c r="R57" s="74" t="s">
        <v>77</v>
      </c>
      <c r="S57" s="76">
        <v>0</v>
      </c>
      <c r="T57" s="75">
        <v>0</v>
      </c>
      <c r="U57" s="75">
        <v>0</v>
      </c>
      <c r="V57" s="77">
        <v>0</v>
      </c>
      <c r="W57" s="76">
        <v>0</v>
      </c>
      <c r="X57" s="75">
        <v>0</v>
      </c>
      <c r="Y57" s="75">
        <v>0</v>
      </c>
      <c r="Z57" s="77">
        <v>0</v>
      </c>
      <c r="AA57" s="76">
        <v>0</v>
      </c>
      <c r="AB57" s="75">
        <v>0</v>
      </c>
      <c r="AC57" s="75">
        <v>0</v>
      </c>
      <c r="AD57" s="77">
        <v>0</v>
      </c>
      <c r="AE57" s="76">
        <v>0</v>
      </c>
      <c r="AF57" s="75">
        <v>0</v>
      </c>
      <c r="AG57" s="75">
        <v>0</v>
      </c>
      <c r="AH57" s="119">
        <v>0</v>
      </c>
      <c r="AI57" s="76">
        <v>0</v>
      </c>
      <c r="AJ57" s="75">
        <v>0</v>
      </c>
      <c r="AK57" s="75">
        <v>0</v>
      </c>
      <c r="AL57" s="119">
        <v>0</v>
      </c>
      <c r="AM57" s="76">
        <v>0</v>
      </c>
      <c r="AN57" s="75">
        <v>0</v>
      </c>
      <c r="AO57" s="75">
        <v>0</v>
      </c>
      <c r="AP57" s="119">
        <v>0</v>
      </c>
      <c r="AQ57" s="76">
        <v>0</v>
      </c>
      <c r="AR57" s="75">
        <v>0</v>
      </c>
      <c r="AS57" s="75">
        <v>0</v>
      </c>
      <c r="AT57" s="119">
        <v>0</v>
      </c>
      <c r="AU57" s="76">
        <v>0</v>
      </c>
      <c r="AV57" s="75">
        <v>0</v>
      </c>
      <c r="AW57" s="75">
        <v>0</v>
      </c>
      <c r="AX57" s="119">
        <v>0</v>
      </c>
      <c r="AY57" s="76">
        <v>0</v>
      </c>
      <c r="AZ57" s="75">
        <v>0</v>
      </c>
      <c r="BA57" s="75">
        <v>0</v>
      </c>
      <c r="BB57" s="119">
        <v>0</v>
      </c>
      <c r="BC57" s="76">
        <v>0</v>
      </c>
      <c r="BD57" s="75">
        <v>0</v>
      </c>
      <c r="BE57" s="75">
        <v>0</v>
      </c>
      <c r="BF57" s="77">
        <v>0</v>
      </c>
      <c r="BG57" s="76">
        <v>0</v>
      </c>
      <c r="BH57" s="75">
        <v>0</v>
      </c>
      <c r="BI57" s="75">
        <v>0</v>
      </c>
      <c r="BJ57" s="77">
        <v>0</v>
      </c>
      <c r="BK57" s="76">
        <v>0</v>
      </c>
      <c r="BL57" s="75">
        <v>0</v>
      </c>
      <c r="BM57" s="75">
        <v>0</v>
      </c>
      <c r="BN57" s="77">
        <v>0</v>
      </c>
      <c r="BO57" s="76">
        <f>IFERROR(+BP57/BP56,0)</f>
        <v>0</v>
      </c>
      <c r="BP57" s="75" t="e">
        <f>SUMIF('[1]Loss TOTAL'!$AV:$AV,$E56,'[1]Loss TOTAL'!HA:HA)</f>
        <v>#VALUE!</v>
      </c>
      <c r="BQ57" s="75">
        <f>IFERROR(+BR57/BP57,0)</f>
        <v>0</v>
      </c>
      <c r="BR57" s="77" t="e">
        <f>+BR56-SUMIF('[1]23.01원가'!$C:$C,[1]생산내역!$E506,'[1]23.01원가'!$AF:$AF)</f>
        <v>#VALUE!</v>
      </c>
      <c r="BS57" s="76">
        <f>IFERROR(+BT57/BT56,0)</f>
        <v>0</v>
      </c>
      <c r="BT57" s="75" t="e">
        <f>SUMIF('[1]Loss TOTAL'!$AV:$AV,$E56,'[1]Loss TOTAL'!HE:HE)</f>
        <v>#VALUE!</v>
      </c>
      <c r="BU57" s="75">
        <f>IFERROR(+BV57/BT57,0)</f>
        <v>0</v>
      </c>
      <c r="BV57" s="77" t="e">
        <f>+BV56-SUMIF('[1]23.02원가'!$C:$C,[1]생산내역!$E506,'[1]23.02원가'!$AF:$AF)</f>
        <v>#VALUE!</v>
      </c>
    </row>
    <row r="58" spans="2:74" s="137" customFormat="1" ht="18" hidden="1" customHeight="1" thickTop="1" thickBot="1">
      <c r="B58" s="139"/>
      <c r="C58" s="10" t="str">
        <f t="shared" si="13"/>
        <v>1103068출고</v>
      </c>
      <c r="D58" s="12" t="str">
        <f t="shared" si="16"/>
        <v>1103068출고</v>
      </c>
      <c r="E58" s="38">
        <f t="shared" si="3"/>
        <v>1103068</v>
      </c>
      <c r="F58" s="78" t="s">
        <v>82</v>
      </c>
      <c r="G58" s="33"/>
      <c r="H58" s="190"/>
      <c r="I58" s="34" t="s">
        <v>82</v>
      </c>
      <c r="J58" s="68"/>
      <c r="K58" s="69"/>
      <c r="L58" s="70"/>
      <c r="M58" s="70"/>
      <c r="N58" s="71"/>
      <c r="O58" s="169"/>
      <c r="P58" s="171">
        <f t="shared" si="15"/>
        <v>0</v>
      </c>
      <c r="Q58" s="73">
        <f>VLOOKUP(P58,[1]A!D:G,3,FALSE)</f>
        <v>0</v>
      </c>
      <c r="R58" s="74" t="s">
        <v>78</v>
      </c>
      <c r="S58" s="76"/>
      <c r="T58" s="75">
        <v>0</v>
      </c>
      <c r="U58" s="75">
        <v>0</v>
      </c>
      <c r="V58" s="77">
        <v>0</v>
      </c>
      <c r="W58" s="76"/>
      <c r="X58" s="75">
        <v>0</v>
      </c>
      <c r="Y58" s="75">
        <v>0</v>
      </c>
      <c r="Z58" s="77">
        <v>0</v>
      </c>
      <c r="AA58" s="76"/>
      <c r="AB58" s="75">
        <v>0</v>
      </c>
      <c r="AC58" s="75">
        <v>0</v>
      </c>
      <c r="AD58" s="77">
        <v>0</v>
      </c>
      <c r="AE58" s="76"/>
      <c r="AF58" s="75">
        <v>0</v>
      </c>
      <c r="AG58" s="75">
        <v>0</v>
      </c>
      <c r="AH58" s="119">
        <v>0</v>
      </c>
      <c r="AI58" s="76"/>
      <c r="AJ58" s="75">
        <v>0</v>
      </c>
      <c r="AK58" s="75">
        <v>0</v>
      </c>
      <c r="AL58" s="119">
        <v>0</v>
      </c>
      <c r="AM58" s="76"/>
      <c r="AN58" s="75">
        <v>0</v>
      </c>
      <c r="AO58" s="75">
        <v>0</v>
      </c>
      <c r="AP58" s="119">
        <v>0</v>
      </c>
      <c r="AQ58" s="76"/>
      <c r="AR58" s="75">
        <v>0</v>
      </c>
      <c r="AS58" s="75">
        <v>0</v>
      </c>
      <c r="AT58" s="119">
        <v>0</v>
      </c>
      <c r="AU58" s="76"/>
      <c r="AV58" s="75">
        <v>0</v>
      </c>
      <c r="AW58" s="75">
        <v>0</v>
      </c>
      <c r="AX58" s="119">
        <v>0</v>
      </c>
      <c r="AY58" s="76"/>
      <c r="AZ58" s="75">
        <v>0</v>
      </c>
      <c r="BA58" s="75">
        <v>0</v>
      </c>
      <c r="BB58" s="119">
        <v>0</v>
      </c>
      <c r="BC58" s="76"/>
      <c r="BD58" s="75">
        <v>0</v>
      </c>
      <c r="BE58" s="75">
        <v>0</v>
      </c>
      <c r="BF58" s="77">
        <v>0</v>
      </c>
      <c r="BG58" s="76"/>
      <c r="BH58" s="75">
        <v>0</v>
      </c>
      <c r="BI58" s="75">
        <v>0</v>
      </c>
      <c r="BJ58" s="77">
        <v>0</v>
      </c>
      <c r="BK58" s="76"/>
      <c r="BL58" s="75">
        <v>0</v>
      </c>
      <c r="BM58" s="75">
        <v>0</v>
      </c>
      <c r="BN58" s="77">
        <v>0</v>
      </c>
      <c r="BO58" s="76"/>
      <c r="BP58" s="75" t="e">
        <f>SUMIF('[1]23.01원가'!$C:$C,[1]생산내역!$E499,'[1]23.01원가'!$Z:$Z)</f>
        <v>#VALUE!</v>
      </c>
      <c r="BQ58" s="75">
        <f>IFERROR(+BR58/BP58,0)</f>
        <v>0</v>
      </c>
      <c r="BR58" s="77" t="e">
        <f>SUMIF('[1]23.01원가'!$C:$C,[1]생산내역!$E499,'[1]23.01원가'!$AB:$AB)</f>
        <v>#VALUE!</v>
      </c>
      <c r="BS58" s="76"/>
      <c r="BT58" s="75" t="e">
        <f>SUMIF('[1]23.02원가'!$C:$C,[1]생산내역!$E499,'[1]23.02원가'!$Z:$Z)</f>
        <v>#VALUE!</v>
      </c>
      <c r="BU58" s="75">
        <f>IFERROR(+BV58/BT58,0)</f>
        <v>0</v>
      </c>
      <c r="BV58" s="77" t="e">
        <f>SUMIF('[1]23.02원가'!$C:$C,[1]생산내역!$E499,'[1]23.02원가'!$AB:$AB)</f>
        <v>#VALUE!</v>
      </c>
    </row>
    <row r="59" spans="2:74" s="137" customFormat="1" ht="15" hidden="1" thickBot="1">
      <c r="B59" s="161" t="str">
        <f>CONCATENATE(E56,D59)</f>
        <v>11030681103068당월재고/단가</v>
      </c>
      <c r="C59" s="10" t="str">
        <f t="shared" si="13"/>
        <v>1103068당월재고/단가</v>
      </c>
      <c r="D59" s="12" t="str">
        <f t="shared" si="16"/>
        <v>1103068당월재고/단가</v>
      </c>
      <c r="E59" s="38">
        <f t="shared" si="3"/>
        <v>1103068</v>
      </c>
      <c r="F59" s="142"/>
      <c r="G59" s="33"/>
      <c r="H59" s="190"/>
      <c r="I59" s="34" t="s">
        <v>82</v>
      </c>
      <c r="J59" s="81"/>
      <c r="K59" s="80"/>
      <c r="L59" s="82"/>
      <c r="M59" s="82"/>
      <c r="N59" s="83"/>
      <c r="O59" s="169"/>
      <c r="P59" s="172">
        <f t="shared" si="15"/>
        <v>0</v>
      </c>
      <c r="Q59" s="85">
        <f>VLOOKUP(P59,[1]A!D:G,3,FALSE)</f>
        <v>0</v>
      </c>
      <c r="R59" s="86" t="s">
        <v>79</v>
      </c>
      <c r="S59" s="88"/>
      <c r="T59" s="87">
        <v>0</v>
      </c>
      <c r="U59" s="87">
        <v>0</v>
      </c>
      <c r="V59" s="89">
        <v>0</v>
      </c>
      <c r="W59" s="88"/>
      <c r="X59" s="87">
        <v>0</v>
      </c>
      <c r="Y59" s="87">
        <v>0</v>
      </c>
      <c r="Z59" s="89">
        <v>0</v>
      </c>
      <c r="AA59" s="88"/>
      <c r="AB59" s="87">
        <v>0</v>
      </c>
      <c r="AC59" s="87">
        <v>0</v>
      </c>
      <c r="AD59" s="89">
        <v>0</v>
      </c>
      <c r="AE59" s="88"/>
      <c r="AF59" s="87">
        <v>0</v>
      </c>
      <c r="AG59" s="87">
        <v>0</v>
      </c>
      <c r="AH59" s="120">
        <v>0</v>
      </c>
      <c r="AI59" s="88"/>
      <c r="AJ59" s="87">
        <v>0</v>
      </c>
      <c r="AK59" s="87">
        <v>0</v>
      </c>
      <c r="AL59" s="120">
        <v>0</v>
      </c>
      <c r="AM59" s="88"/>
      <c r="AN59" s="87">
        <v>0</v>
      </c>
      <c r="AO59" s="87">
        <v>0</v>
      </c>
      <c r="AP59" s="120">
        <v>0</v>
      </c>
      <c r="AQ59" s="88"/>
      <c r="AR59" s="87">
        <v>0</v>
      </c>
      <c r="AS59" s="87">
        <v>0</v>
      </c>
      <c r="AT59" s="120">
        <v>0</v>
      </c>
      <c r="AU59" s="88"/>
      <c r="AV59" s="87">
        <v>0</v>
      </c>
      <c r="AW59" s="87">
        <v>0</v>
      </c>
      <c r="AX59" s="120">
        <v>0</v>
      </c>
      <c r="AY59" s="88"/>
      <c r="AZ59" s="87">
        <v>0</v>
      </c>
      <c r="BA59" s="87">
        <v>0</v>
      </c>
      <c r="BB59" s="120">
        <v>0</v>
      </c>
      <c r="BC59" s="88"/>
      <c r="BD59" s="87">
        <v>0</v>
      </c>
      <c r="BE59" s="87">
        <v>0</v>
      </c>
      <c r="BF59" s="89">
        <v>0</v>
      </c>
      <c r="BG59" s="88"/>
      <c r="BH59" s="87">
        <v>0</v>
      </c>
      <c r="BI59" s="87">
        <v>0</v>
      </c>
      <c r="BJ59" s="89">
        <v>0</v>
      </c>
      <c r="BK59" s="88"/>
      <c r="BL59" s="87">
        <v>0</v>
      </c>
      <c r="BM59" s="87">
        <v>0</v>
      </c>
      <c r="BN59" s="89">
        <v>0</v>
      </c>
      <c r="BO59" s="88"/>
      <c r="BP59" s="87">
        <f>IFERROR(+BP44+BP56-BP57-BP58,0)</f>
        <v>0</v>
      </c>
      <c r="BQ59" s="87">
        <f>IFERROR(+BR59/BP59,0)</f>
        <v>0</v>
      </c>
      <c r="BR59" s="89">
        <f>IFERROR(+BR44+BR56-BR57-BR58,0)</f>
        <v>0</v>
      </c>
      <c r="BS59" s="88"/>
      <c r="BT59" s="87">
        <f>IFERROR(+BT44+BT56-BT57-BT58,0)</f>
        <v>0</v>
      </c>
      <c r="BU59" s="87">
        <f>IFERROR(+BV59/BT59,0)</f>
        <v>0</v>
      </c>
      <c r="BV59" s="89">
        <f>IFERROR(+BV44+BV56-BV57-BV58,0)</f>
        <v>0</v>
      </c>
    </row>
    <row r="60" spans="2:74" s="137" customFormat="1" ht="15" hidden="1" thickBot="1">
      <c r="B60" s="139"/>
      <c r="C60" s="10" t="str">
        <f t="shared" si="13"/>
        <v>분석</v>
      </c>
      <c r="D60" s="12" t="str">
        <f t="shared" si="16"/>
        <v>분석</v>
      </c>
      <c r="E60" s="38"/>
      <c r="F60" s="78"/>
      <c r="G60" s="33"/>
      <c r="H60" s="191"/>
      <c r="I60" s="34" t="s">
        <v>82</v>
      </c>
      <c r="J60" s="68"/>
      <c r="K60" s="69"/>
      <c r="L60" s="70"/>
      <c r="M60" s="70"/>
      <c r="N60" s="71"/>
      <c r="O60" s="69"/>
      <c r="P60" s="173">
        <f t="shared" si="15"/>
        <v>0</v>
      </c>
      <c r="Q60" s="90">
        <f>VLOOKUP(P60,[1]A!D:G,3,FALSE)</f>
        <v>0</v>
      </c>
      <c r="R60" s="91" t="s">
        <v>80</v>
      </c>
      <c r="S60" s="93"/>
      <c r="T60" s="92"/>
      <c r="U60" s="92"/>
      <c r="V60" s="95">
        <v>0</v>
      </c>
      <c r="W60" s="93"/>
      <c r="X60" s="92"/>
      <c r="Y60" s="92"/>
      <c r="Z60" s="95">
        <v>0</v>
      </c>
      <c r="AA60" s="93"/>
      <c r="AB60" s="92"/>
      <c r="AC60" s="92"/>
      <c r="AD60" s="95">
        <v>0</v>
      </c>
      <c r="AE60" s="93"/>
      <c r="AF60" s="92"/>
      <c r="AG60" s="92"/>
      <c r="AH60" s="121">
        <v>0</v>
      </c>
      <c r="AI60" s="93"/>
      <c r="AJ60" s="92"/>
      <c r="AK60" s="92"/>
      <c r="AL60" s="121">
        <v>0</v>
      </c>
      <c r="AM60" s="93"/>
      <c r="AN60" s="92"/>
      <c r="AO60" s="92"/>
      <c r="AP60" s="121">
        <v>0</v>
      </c>
      <c r="AQ60" s="93"/>
      <c r="AR60" s="92"/>
      <c r="AS60" s="92"/>
      <c r="AT60" s="121">
        <v>0</v>
      </c>
      <c r="AU60" s="93"/>
      <c r="AV60" s="92"/>
      <c r="AW60" s="92"/>
      <c r="AX60" s="121">
        <v>0</v>
      </c>
      <c r="AY60" s="93"/>
      <c r="AZ60" s="92"/>
      <c r="BA60" s="92"/>
      <c r="BB60" s="121">
        <v>0</v>
      </c>
      <c r="BC60" s="93"/>
      <c r="BD60" s="92"/>
      <c r="BE60" s="92"/>
      <c r="BF60" s="95">
        <v>0</v>
      </c>
      <c r="BG60" s="93"/>
      <c r="BH60" s="92"/>
      <c r="BI60" s="92"/>
      <c r="BJ60" s="95">
        <v>0</v>
      </c>
      <c r="BK60" s="93"/>
      <c r="BL60" s="92"/>
      <c r="BM60" s="92"/>
      <c r="BN60" s="95">
        <v>0</v>
      </c>
      <c r="BO60" s="93"/>
      <c r="BP60" s="92"/>
      <c r="BQ60" s="92"/>
      <c r="BR60" s="95" t="e">
        <f>+BR56-BR57</f>
        <v>#VALUE!</v>
      </c>
      <c r="BS60" s="93"/>
      <c r="BT60" s="92"/>
      <c r="BU60" s="92"/>
      <c r="BV60" s="95" t="e">
        <f>+BV56-BV57</f>
        <v>#VALUE!</v>
      </c>
    </row>
    <row r="61" spans="2:74" s="17" customFormat="1" ht="15" hidden="1" thickBot="1">
      <c r="B61" s="31"/>
      <c r="C61" s="10" t="str">
        <f t="shared" si="13"/>
        <v>1103110전월재고/단가</v>
      </c>
      <c r="D61" s="1" t="str">
        <f t="shared" si="16"/>
        <v>1103110전월재고/단가</v>
      </c>
      <c r="E61" s="38">
        <f t="shared" si="3"/>
        <v>1103110</v>
      </c>
      <c r="F61" s="97"/>
      <c r="G61" s="33">
        <v>1103110</v>
      </c>
      <c r="H61" s="189" t="s">
        <v>88</v>
      </c>
      <c r="I61" s="34" t="s">
        <v>89</v>
      </c>
      <c r="J61" s="133"/>
      <c r="K61" s="96"/>
      <c r="L61" s="134"/>
      <c r="M61" s="134"/>
      <c r="N61" s="135"/>
      <c r="O61" s="96"/>
      <c r="P61" s="129">
        <f>+O61*1</f>
        <v>0</v>
      </c>
      <c r="Q61" s="130">
        <f>VLOOKUP(P61,[1]A!D:G,3,FALSE)</f>
        <v>0</v>
      </c>
      <c r="R61" s="35" t="s">
        <v>83</v>
      </c>
      <c r="S61" s="136"/>
      <c r="T61" s="36">
        <v>688</v>
      </c>
      <c r="U61" s="36">
        <v>1920.4869186046512</v>
      </c>
      <c r="V61" s="37">
        <v>1321295</v>
      </c>
      <c r="W61" s="136"/>
      <c r="X61" s="36">
        <v>688</v>
      </c>
      <c r="Y61" s="36">
        <v>1920.4869186046512</v>
      </c>
      <c r="Z61" s="37">
        <v>1321295</v>
      </c>
      <c r="AA61" s="136"/>
      <c r="AB61" s="36">
        <v>688</v>
      </c>
      <c r="AC61" s="36">
        <v>1920.4869186046512</v>
      </c>
      <c r="AD61" s="37">
        <v>1321295</v>
      </c>
      <c r="AE61" s="136"/>
      <c r="AF61" s="36">
        <v>688</v>
      </c>
      <c r="AG61" s="36">
        <v>1920.4869186046512</v>
      </c>
      <c r="AH61" s="98">
        <v>1321295</v>
      </c>
      <c r="AI61" s="136"/>
      <c r="AJ61" s="36">
        <v>688</v>
      </c>
      <c r="AK61" s="36">
        <v>1920.4869186046512</v>
      </c>
      <c r="AL61" s="98">
        <v>1321295</v>
      </c>
      <c r="AM61" s="136"/>
      <c r="AN61" s="36">
        <v>688</v>
      </c>
      <c r="AO61" s="36">
        <v>1920.4869186046512</v>
      </c>
      <c r="AP61" s="98">
        <v>1321295</v>
      </c>
      <c r="AQ61" s="136"/>
      <c r="AR61" s="36">
        <v>688</v>
      </c>
      <c r="AS61" s="36">
        <v>1920.4869186046512</v>
      </c>
      <c r="AT61" s="98">
        <v>1321295</v>
      </c>
      <c r="AU61" s="136"/>
      <c r="AV61" s="36">
        <v>688</v>
      </c>
      <c r="AW61" s="36">
        <v>1920.4869186046512</v>
      </c>
      <c r="AX61" s="98">
        <v>1321295</v>
      </c>
      <c r="AY61" s="136"/>
      <c r="AZ61" s="36">
        <v>688</v>
      </c>
      <c r="BA61" s="36">
        <v>1920.4869186046512</v>
      </c>
      <c r="BB61" s="98">
        <v>1321295</v>
      </c>
      <c r="BC61" s="136"/>
      <c r="BD61" s="36">
        <v>688</v>
      </c>
      <c r="BE61" s="36">
        <v>1920.4869186046512</v>
      </c>
      <c r="BF61" s="37">
        <v>1321295</v>
      </c>
      <c r="BG61" s="136"/>
      <c r="BH61" s="36">
        <v>688</v>
      </c>
      <c r="BI61" s="36">
        <v>1920.4869186046512</v>
      </c>
      <c r="BJ61" s="37">
        <v>1321295</v>
      </c>
      <c r="BK61" s="136"/>
      <c r="BL61" s="36">
        <v>688</v>
      </c>
      <c r="BM61" s="36">
        <v>1920.4869186046512</v>
      </c>
      <c r="BN61" s="37">
        <v>1321295</v>
      </c>
      <c r="BO61" s="136"/>
      <c r="BP61" s="36">
        <f>IF(BL73=0,SUMIF('[1]23.01원가'!$C:$C,[1]생산내역!$E512,'[1]23.01원가'!$G:$G),BL73)</f>
        <v>688</v>
      </c>
      <c r="BQ61" s="36">
        <f>IFERROR(+BR61/BP61,0)</f>
        <v>1920.4869186046512</v>
      </c>
      <c r="BR61" s="37">
        <f>IF(BN73=0,SUMIF('[1]23.01원가'!$C:$C,[1]생산내역!$E512,'[1]23.01원가'!$I:$I),BN73)</f>
        <v>1321295</v>
      </c>
      <c r="BS61" s="136"/>
      <c r="BT61" s="36" t="e">
        <f>IF(BP73=0,SUMIF('[1]23.02원가'!$C:$C,[1]생산내역!$E512,'[1]23.02원가'!$G:$G),BP73)</f>
        <v>#VALUE!</v>
      </c>
      <c r="BU61" s="36">
        <f>IFERROR(+BV61/BT61,0)</f>
        <v>0</v>
      </c>
      <c r="BV61" s="37" t="e">
        <f>IF(BR73=0,SUMIF('[1]23.02원가'!$C:$C,[1]생산내역!$E512,'[1]23.02원가'!$I:$I),BR73)</f>
        <v>#VALUE!</v>
      </c>
    </row>
    <row r="62" spans="2:74" ht="15" hidden="1" thickBot="1">
      <c r="B62" s="1" t="str">
        <f>CONCATENATE(E62,O62)</f>
        <v>11031103402105</v>
      </c>
      <c r="C62" s="10" t="str">
        <f t="shared" si="13"/>
        <v>1103110MPPO JM-595M</v>
      </c>
      <c r="D62" s="1" t="str">
        <f t="shared" si="16"/>
        <v>1103110MPPO JM-595M</v>
      </c>
      <c r="E62" s="38">
        <f t="shared" si="3"/>
        <v>1103110</v>
      </c>
      <c r="F62" s="39" t="str">
        <f>IF(H61=0,#REF!,H61)</f>
        <v>TPAA130</v>
      </c>
      <c r="G62" s="33"/>
      <c r="H62" s="190"/>
      <c r="I62" s="34" t="s">
        <v>89</v>
      </c>
      <c r="K62" s="38" t="s">
        <v>26</v>
      </c>
      <c r="L62" s="41">
        <v>43370</v>
      </c>
      <c r="M62" s="41">
        <v>2776.41</v>
      </c>
      <c r="N62" s="42">
        <v>120412944</v>
      </c>
      <c r="O62" s="38" t="s">
        <v>29</v>
      </c>
      <c r="P62" s="48">
        <f>+O62*1</f>
        <v>3402105</v>
      </c>
      <c r="Q62" s="49" t="str">
        <f>VLOOKUP(P62,[1]A!D:G,3,FALSE)</f>
        <v>MPPO</v>
      </c>
      <c r="R62" s="110" t="s">
        <v>30</v>
      </c>
      <c r="S62" s="103">
        <v>0</v>
      </c>
      <c r="T62" s="104">
        <v>0</v>
      </c>
      <c r="U62" s="104">
        <v>0</v>
      </c>
      <c r="V62" s="105">
        <v>0</v>
      </c>
      <c r="W62" s="103">
        <v>0</v>
      </c>
      <c r="X62" s="104">
        <v>0</v>
      </c>
      <c r="Y62" s="104">
        <v>0</v>
      </c>
      <c r="Z62" s="105">
        <v>0</v>
      </c>
      <c r="AA62" s="103">
        <v>0</v>
      </c>
      <c r="AB62" s="104">
        <v>0</v>
      </c>
      <c r="AC62" s="104">
        <v>0</v>
      </c>
      <c r="AD62" s="105">
        <v>0</v>
      </c>
      <c r="AE62" s="103">
        <v>0</v>
      </c>
      <c r="AF62" s="104">
        <v>0</v>
      </c>
      <c r="AG62" s="104">
        <v>0</v>
      </c>
      <c r="AH62" s="106">
        <v>0</v>
      </c>
      <c r="AI62" s="103">
        <v>0</v>
      </c>
      <c r="AJ62" s="104">
        <v>0</v>
      </c>
      <c r="AK62" s="104">
        <v>0</v>
      </c>
      <c r="AL62" s="106">
        <v>0</v>
      </c>
      <c r="AM62" s="103">
        <v>0</v>
      </c>
      <c r="AN62" s="104">
        <v>0</v>
      </c>
      <c r="AO62" s="104">
        <v>0</v>
      </c>
      <c r="AP62" s="106">
        <v>0</v>
      </c>
      <c r="AQ62" s="103">
        <v>0</v>
      </c>
      <c r="AR62" s="104">
        <v>0</v>
      </c>
      <c r="AS62" s="104">
        <v>0</v>
      </c>
      <c r="AT62" s="106">
        <v>0</v>
      </c>
      <c r="AU62" s="103">
        <v>0</v>
      </c>
      <c r="AV62" s="104">
        <v>0</v>
      </c>
      <c r="AW62" s="104">
        <v>0</v>
      </c>
      <c r="AX62" s="106">
        <v>0</v>
      </c>
      <c r="AY62" s="103">
        <v>0</v>
      </c>
      <c r="AZ62" s="104">
        <v>0</v>
      </c>
      <c r="BA62" s="104">
        <v>0</v>
      </c>
      <c r="BB62" s="106">
        <v>0</v>
      </c>
      <c r="BC62" s="103">
        <v>0</v>
      </c>
      <c r="BD62" s="104">
        <v>0</v>
      </c>
      <c r="BE62" s="104">
        <v>0</v>
      </c>
      <c r="BF62" s="105">
        <v>0</v>
      </c>
      <c r="BG62" s="103">
        <v>0</v>
      </c>
      <c r="BH62" s="104">
        <v>0</v>
      </c>
      <c r="BI62" s="104">
        <v>0</v>
      </c>
      <c r="BJ62" s="105">
        <v>0</v>
      </c>
      <c r="BK62" s="103">
        <v>0</v>
      </c>
      <c r="BL62" s="104">
        <v>0</v>
      </c>
      <c r="BM62" s="104">
        <v>0</v>
      </c>
      <c r="BN62" s="105">
        <v>0</v>
      </c>
      <c r="BO62" s="103" t="e">
        <f>SUMIF('[1]재료비23.01'!$A:$A,[1]생산내역!$B512,'[1]재료비23.01'!$O:$O)</f>
        <v>#VALUE!</v>
      </c>
      <c r="BP62" s="104" t="e">
        <f>SUMIF('[1]재료비23.01'!$A:$A,[1]생산내역!$B512,'[1]재료비23.01'!$P:$P)</f>
        <v>#VALUE!</v>
      </c>
      <c r="BQ62" s="104" t="e">
        <f>SUMIF('[1]재료비23.01'!$A:$A,[1]생산내역!$B512,'[1]재료비23.01'!$Q:$Q)</f>
        <v>#VALUE!</v>
      </c>
      <c r="BR62" s="105" t="e">
        <f>SUMIF('[1]재료비23.01'!$A:$A,[1]생산내역!$B512,'[1]재료비23.01'!$R:$R)</f>
        <v>#VALUE!</v>
      </c>
      <c r="BS62" s="103" t="e">
        <f>SUMIF('[1]재료비23.02'!$A:$A,[1]생산내역!$B512,'[1]재료비23.02'!$O:$O)</f>
        <v>#VALUE!</v>
      </c>
      <c r="BT62" s="104" t="e">
        <f>SUMIF('[1]재료비23.02'!$A:$A,[1]생산내역!$B512,'[1]재료비23.02'!$P:$P)</f>
        <v>#VALUE!</v>
      </c>
      <c r="BU62" s="104" t="e">
        <f>SUMIF('[1]재료비23.02'!$A:$A,[1]생산내역!$B512,'[1]재료비23.02'!$Q:$Q)</f>
        <v>#VALUE!</v>
      </c>
      <c r="BV62" s="105" t="e">
        <f>SUMIF('[1]재료비23.02'!$A:$A,[1]생산내역!$B512,'[1]재료비23.02'!$R:$R)</f>
        <v>#VALUE!</v>
      </c>
    </row>
    <row r="63" spans="2:74" ht="15" hidden="1" thickBot="1">
      <c r="B63" s="51" t="str">
        <f>CONCATENATE(E63,O63)</f>
        <v>11031103403303</v>
      </c>
      <c r="C63" s="10" t="str">
        <f t="shared" si="13"/>
        <v>1103110MPPO&lt;KC&gt;</v>
      </c>
      <c r="D63" s="51" t="str">
        <f t="shared" si="16"/>
        <v>1103110MPPO&lt;KC&gt;</v>
      </c>
      <c r="E63" s="38">
        <f t="shared" si="3"/>
        <v>1103110</v>
      </c>
      <c r="F63" s="54" t="str">
        <f>IF(H63=0,F62,H63)</f>
        <v>TPAA130</v>
      </c>
      <c r="G63" s="55"/>
      <c r="H63" s="190"/>
      <c r="I63" s="34" t="s">
        <v>89</v>
      </c>
      <c r="J63" s="51"/>
      <c r="K63" s="53"/>
      <c r="L63" s="46"/>
      <c r="M63" s="46"/>
      <c r="N63" s="56"/>
      <c r="O63" s="53" t="s">
        <v>33</v>
      </c>
      <c r="P63" s="43">
        <f>+O63*1</f>
        <v>3403303</v>
      </c>
      <c r="Q63" s="44" t="str">
        <f>VLOOKUP(P63,[1]A!D:G,3,FALSE)</f>
        <v>R재</v>
      </c>
      <c r="R63" s="45" t="s">
        <v>84</v>
      </c>
      <c r="S63" s="99">
        <v>0</v>
      </c>
      <c r="T63" s="100">
        <v>0</v>
      </c>
      <c r="U63" s="100">
        <v>0</v>
      </c>
      <c r="V63" s="101">
        <v>0</v>
      </c>
      <c r="W63" s="99">
        <v>0</v>
      </c>
      <c r="X63" s="100">
        <v>0</v>
      </c>
      <c r="Y63" s="100">
        <v>0</v>
      </c>
      <c r="Z63" s="101">
        <v>0</v>
      </c>
      <c r="AA63" s="99">
        <v>0</v>
      </c>
      <c r="AB63" s="100">
        <v>0</v>
      </c>
      <c r="AC63" s="100">
        <v>0</v>
      </c>
      <c r="AD63" s="101">
        <v>0</v>
      </c>
      <c r="AE63" s="99">
        <v>0</v>
      </c>
      <c r="AF63" s="100">
        <v>0</v>
      </c>
      <c r="AG63" s="100">
        <v>0</v>
      </c>
      <c r="AH63" s="102">
        <v>0</v>
      </c>
      <c r="AI63" s="99">
        <v>0</v>
      </c>
      <c r="AJ63" s="100">
        <v>0</v>
      </c>
      <c r="AK63" s="100">
        <v>0</v>
      </c>
      <c r="AL63" s="102">
        <v>0</v>
      </c>
      <c r="AM63" s="99">
        <v>0</v>
      </c>
      <c r="AN63" s="100">
        <v>0</v>
      </c>
      <c r="AO63" s="100">
        <v>0</v>
      </c>
      <c r="AP63" s="102">
        <v>0</v>
      </c>
      <c r="AQ63" s="99">
        <v>0</v>
      </c>
      <c r="AR63" s="100">
        <v>0</v>
      </c>
      <c r="AS63" s="100">
        <v>0</v>
      </c>
      <c r="AT63" s="102">
        <v>0</v>
      </c>
      <c r="AU63" s="99">
        <v>0</v>
      </c>
      <c r="AV63" s="100">
        <v>0</v>
      </c>
      <c r="AW63" s="100">
        <v>0</v>
      </c>
      <c r="AX63" s="102">
        <v>0</v>
      </c>
      <c r="AY63" s="99">
        <v>0</v>
      </c>
      <c r="AZ63" s="100">
        <v>0</v>
      </c>
      <c r="BA63" s="100">
        <v>0</v>
      </c>
      <c r="BB63" s="102">
        <v>0</v>
      </c>
      <c r="BC63" s="99">
        <v>0</v>
      </c>
      <c r="BD63" s="100">
        <v>0</v>
      </c>
      <c r="BE63" s="100">
        <v>0</v>
      </c>
      <c r="BF63" s="101">
        <v>0</v>
      </c>
      <c r="BG63" s="99">
        <v>0</v>
      </c>
      <c r="BH63" s="100">
        <v>0</v>
      </c>
      <c r="BI63" s="100">
        <v>0</v>
      </c>
      <c r="BJ63" s="101">
        <v>0</v>
      </c>
      <c r="BK63" s="99">
        <v>0</v>
      </c>
      <c r="BL63" s="100">
        <v>0</v>
      </c>
      <c r="BM63" s="100">
        <v>0</v>
      </c>
      <c r="BN63" s="101">
        <v>0</v>
      </c>
      <c r="BO63" s="99" t="e">
        <f>SUMIF('[1]재료비23.01'!$A:$A,[1]생산내역!$B513,'[1]재료비23.01'!$O:$O)</f>
        <v>#VALUE!</v>
      </c>
      <c r="BP63" s="100" t="e">
        <f>SUMIF('[1]재료비23.01'!$A:$A,[1]생산내역!$B513,'[1]재료비23.01'!$P:$P)</f>
        <v>#VALUE!</v>
      </c>
      <c r="BQ63" s="100" t="e">
        <f>SUMIF('[1]재료비23.01'!$A:$A,[1]생산내역!$B513,'[1]재료비23.01'!$Q:$Q)</f>
        <v>#VALUE!</v>
      </c>
      <c r="BR63" s="101" t="e">
        <f>SUMIF('[1]재료비23.01'!$A:$A,[1]생산내역!$B513,'[1]재료비23.01'!$R:$R)</f>
        <v>#VALUE!</v>
      </c>
      <c r="BS63" s="99" t="e">
        <f>SUMIF('[1]재료비23.02'!$A:$A,[1]생산내역!$B513,'[1]재료비23.02'!$O:$O)</f>
        <v>#VALUE!</v>
      </c>
      <c r="BT63" s="100" t="e">
        <f>SUMIF('[1]재료비23.02'!$A:$A,[1]생산내역!$B513,'[1]재료비23.02'!$P:$P)</f>
        <v>#VALUE!</v>
      </c>
      <c r="BU63" s="100" t="e">
        <f>SUMIF('[1]재료비23.02'!$A:$A,[1]생산내역!$B513,'[1]재료비23.02'!$Q:$Q)</f>
        <v>#VALUE!</v>
      </c>
      <c r="BV63" s="101" t="e">
        <f>SUMIF('[1]재료비23.02'!$A:$A,[1]생산내역!$B513,'[1]재료비23.02'!$R:$R)</f>
        <v>#VALUE!</v>
      </c>
    </row>
    <row r="64" spans="2:74" ht="15" hidden="1" thickBot="1">
      <c r="B64" s="51" t="str">
        <f>CONCATENATE(E64,O64)</f>
        <v>11031103403313</v>
      </c>
      <c r="C64" s="10" t="str">
        <f t="shared" si="13"/>
        <v>1103110MPPO&lt;GF&gt;</v>
      </c>
      <c r="D64" s="51" t="str">
        <f t="shared" si="16"/>
        <v>1103110MPPO&lt;GF&gt;</v>
      </c>
      <c r="E64" s="38">
        <f t="shared" si="3"/>
        <v>1103110</v>
      </c>
      <c r="F64" s="54" t="str">
        <f>IF(H64=0,F62,H64)</f>
        <v>TPAA130</v>
      </c>
      <c r="G64" s="55"/>
      <c r="H64" s="190"/>
      <c r="I64" s="34" t="s">
        <v>89</v>
      </c>
      <c r="J64" s="51"/>
      <c r="K64" s="53"/>
      <c r="L64" s="46"/>
      <c r="M64" s="46"/>
      <c r="N64" s="56"/>
      <c r="O64" s="53" t="s">
        <v>44</v>
      </c>
      <c r="P64" s="43">
        <f>+O64*1</f>
        <v>3403313</v>
      </c>
      <c r="Q64" s="44" t="str">
        <f>VLOOKUP(P64,[1]A!D:G,3,FALSE)</f>
        <v>R재</v>
      </c>
      <c r="R64" s="45" t="s">
        <v>85</v>
      </c>
      <c r="S64" s="99">
        <v>0</v>
      </c>
      <c r="T64" s="100">
        <v>0</v>
      </c>
      <c r="U64" s="100">
        <v>0</v>
      </c>
      <c r="V64" s="101">
        <v>0</v>
      </c>
      <c r="W64" s="99">
        <v>0</v>
      </c>
      <c r="X64" s="100">
        <v>0</v>
      </c>
      <c r="Y64" s="100">
        <v>0</v>
      </c>
      <c r="Z64" s="101">
        <v>0</v>
      </c>
      <c r="AA64" s="99">
        <v>0</v>
      </c>
      <c r="AB64" s="100">
        <v>0</v>
      </c>
      <c r="AC64" s="100">
        <v>0</v>
      </c>
      <c r="AD64" s="101">
        <v>0</v>
      </c>
      <c r="AE64" s="99">
        <v>0</v>
      </c>
      <c r="AF64" s="100">
        <v>0</v>
      </c>
      <c r="AG64" s="100">
        <v>0</v>
      </c>
      <c r="AH64" s="102">
        <v>0</v>
      </c>
      <c r="AI64" s="99">
        <v>0</v>
      </c>
      <c r="AJ64" s="100">
        <v>0</v>
      </c>
      <c r="AK64" s="100">
        <v>0</v>
      </c>
      <c r="AL64" s="102">
        <v>0</v>
      </c>
      <c r="AM64" s="99">
        <v>0</v>
      </c>
      <c r="AN64" s="100">
        <v>0</v>
      </c>
      <c r="AO64" s="100">
        <v>0</v>
      </c>
      <c r="AP64" s="102">
        <v>0</v>
      </c>
      <c r="AQ64" s="99">
        <v>0</v>
      </c>
      <c r="AR64" s="100">
        <v>0</v>
      </c>
      <c r="AS64" s="100">
        <v>0</v>
      </c>
      <c r="AT64" s="102">
        <v>0</v>
      </c>
      <c r="AU64" s="99">
        <v>0</v>
      </c>
      <c r="AV64" s="100">
        <v>0</v>
      </c>
      <c r="AW64" s="100">
        <v>0</v>
      </c>
      <c r="AX64" s="102">
        <v>0</v>
      </c>
      <c r="AY64" s="99">
        <v>0</v>
      </c>
      <c r="AZ64" s="100">
        <v>0</v>
      </c>
      <c r="BA64" s="100">
        <v>0</v>
      </c>
      <c r="BB64" s="102">
        <v>0</v>
      </c>
      <c r="BC64" s="99">
        <v>0</v>
      </c>
      <c r="BD64" s="100">
        <v>0</v>
      </c>
      <c r="BE64" s="100">
        <v>0</v>
      </c>
      <c r="BF64" s="101">
        <v>0</v>
      </c>
      <c r="BG64" s="99">
        <v>0</v>
      </c>
      <c r="BH64" s="100">
        <v>0</v>
      </c>
      <c r="BI64" s="100">
        <v>0</v>
      </c>
      <c r="BJ64" s="101">
        <v>0</v>
      </c>
      <c r="BK64" s="99">
        <v>0</v>
      </c>
      <c r="BL64" s="100">
        <v>0</v>
      </c>
      <c r="BM64" s="100">
        <v>0</v>
      </c>
      <c r="BN64" s="101">
        <v>0</v>
      </c>
      <c r="BO64" s="99" t="e">
        <f>SUMIF('[1]재료비23.01'!$A:$A,[1]생산내역!$B514,'[1]재료비23.01'!$O:$O)</f>
        <v>#VALUE!</v>
      </c>
      <c r="BP64" s="100" t="e">
        <f>SUMIF('[1]재료비23.01'!$A:$A,[1]생산내역!$B514,'[1]재료비23.01'!$P:$P)</f>
        <v>#VALUE!</v>
      </c>
      <c r="BQ64" s="100" t="e">
        <f>SUMIF('[1]재료비23.01'!$A:$A,[1]생산내역!$B514,'[1]재료비23.01'!$Q:$Q)</f>
        <v>#VALUE!</v>
      </c>
      <c r="BR64" s="101" t="e">
        <f>SUMIF('[1]재료비23.01'!$A:$A,[1]생산내역!$B514,'[1]재료비23.01'!$R:$R)</f>
        <v>#VALUE!</v>
      </c>
      <c r="BS64" s="99" t="e">
        <f>SUMIF('[1]재료비23.02'!$A:$A,[1]생산내역!$B514,'[1]재료비23.02'!$O:$O)</f>
        <v>#VALUE!</v>
      </c>
      <c r="BT64" s="100" t="e">
        <f>SUMIF('[1]재료비23.02'!$A:$A,[1]생산내역!$B514,'[1]재료비23.02'!$P:$P)</f>
        <v>#VALUE!</v>
      </c>
      <c r="BU64" s="100" t="e">
        <f>SUMIF('[1]재료비23.02'!$A:$A,[1]생산내역!$B514,'[1]재료비23.02'!$Q:$Q)</f>
        <v>#VALUE!</v>
      </c>
      <c r="BV64" s="101" t="e">
        <f>SUMIF('[1]재료비23.02'!$A:$A,[1]생산내역!$B514,'[1]재료비23.02'!$R:$R)</f>
        <v>#VALUE!</v>
      </c>
    </row>
    <row r="65" spans="2:74" s="47" customFormat="1" ht="15" hidden="1" thickBot="1">
      <c r="B65" s="1"/>
      <c r="C65" s="10" t="str">
        <f t="shared" si="13"/>
        <v>1103110R재</v>
      </c>
      <c r="D65" s="1"/>
      <c r="E65" s="38">
        <f t="shared" si="3"/>
        <v>1103110</v>
      </c>
      <c r="F65" s="57"/>
      <c r="G65" s="33"/>
      <c r="H65" s="190"/>
      <c r="I65" s="34" t="s">
        <v>89</v>
      </c>
      <c r="J65" s="40"/>
      <c r="K65" s="38"/>
      <c r="L65" s="41"/>
      <c r="M65" s="41"/>
      <c r="N65" s="42"/>
      <c r="O65" s="38"/>
      <c r="P65" s="48"/>
      <c r="Q65" s="49">
        <f>VLOOKUP(P65,[1]A!D:G,3,FALSE)</f>
        <v>0</v>
      </c>
      <c r="R65" s="50" t="str">
        <f>+Q64</f>
        <v>R재</v>
      </c>
      <c r="S65" s="107">
        <v>0</v>
      </c>
      <c r="T65" s="108">
        <v>0</v>
      </c>
      <c r="U65" s="108">
        <v>0</v>
      </c>
      <c r="V65" s="122">
        <v>0</v>
      </c>
      <c r="W65" s="107">
        <v>0</v>
      </c>
      <c r="X65" s="108">
        <v>0</v>
      </c>
      <c r="Y65" s="108">
        <v>0</v>
      </c>
      <c r="Z65" s="122">
        <v>0</v>
      </c>
      <c r="AA65" s="107">
        <v>0</v>
      </c>
      <c r="AB65" s="108">
        <v>0</v>
      </c>
      <c r="AC65" s="108">
        <v>0</v>
      </c>
      <c r="AD65" s="122">
        <v>0</v>
      </c>
      <c r="AE65" s="107">
        <v>0</v>
      </c>
      <c r="AF65" s="108">
        <v>0</v>
      </c>
      <c r="AG65" s="108">
        <v>0</v>
      </c>
      <c r="AH65" s="109">
        <v>0</v>
      </c>
      <c r="AI65" s="107">
        <v>0</v>
      </c>
      <c r="AJ65" s="108">
        <v>0</v>
      </c>
      <c r="AK65" s="108">
        <v>0</v>
      </c>
      <c r="AL65" s="109">
        <v>0</v>
      </c>
      <c r="AM65" s="107">
        <v>0</v>
      </c>
      <c r="AN65" s="108">
        <v>0</v>
      </c>
      <c r="AO65" s="108">
        <v>0</v>
      </c>
      <c r="AP65" s="109">
        <v>0</v>
      </c>
      <c r="AQ65" s="107">
        <v>0</v>
      </c>
      <c r="AR65" s="108">
        <v>0</v>
      </c>
      <c r="AS65" s="108">
        <v>0</v>
      </c>
      <c r="AT65" s="109">
        <v>0</v>
      </c>
      <c r="AU65" s="107">
        <v>0</v>
      </c>
      <c r="AV65" s="108">
        <v>0</v>
      </c>
      <c r="AW65" s="108">
        <v>0</v>
      </c>
      <c r="AX65" s="109">
        <v>0</v>
      </c>
      <c r="AY65" s="107">
        <v>0</v>
      </c>
      <c r="AZ65" s="108">
        <v>0</v>
      </c>
      <c r="BA65" s="108">
        <v>0</v>
      </c>
      <c r="BB65" s="109">
        <v>0</v>
      </c>
      <c r="BC65" s="107">
        <v>0</v>
      </c>
      <c r="BD65" s="108">
        <v>0</v>
      </c>
      <c r="BE65" s="108">
        <v>0</v>
      </c>
      <c r="BF65" s="122">
        <v>0</v>
      </c>
      <c r="BG65" s="107">
        <v>0</v>
      </c>
      <c r="BH65" s="108">
        <v>0</v>
      </c>
      <c r="BI65" s="108">
        <v>0</v>
      </c>
      <c r="BJ65" s="122">
        <v>0</v>
      </c>
      <c r="BK65" s="107">
        <v>0</v>
      </c>
      <c r="BL65" s="108">
        <v>0</v>
      </c>
      <c r="BM65" s="108">
        <v>0</v>
      </c>
      <c r="BN65" s="122">
        <v>0</v>
      </c>
      <c r="BO65" s="107" t="e">
        <f>+BO63+BO64</f>
        <v>#VALUE!</v>
      </c>
      <c r="BP65" s="108" t="e">
        <f>+BP63+BP64</f>
        <v>#VALUE!</v>
      </c>
      <c r="BQ65" s="108">
        <f>IFERROR(+BR65/BP65,0)</f>
        <v>0</v>
      </c>
      <c r="BR65" s="122" t="e">
        <f>+BR63+BR64</f>
        <v>#VALUE!</v>
      </c>
      <c r="BS65" s="107" t="e">
        <f>+BS63+BS64</f>
        <v>#VALUE!</v>
      </c>
      <c r="BT65" s="108" t="e">
        <f>+BT63+BT64</f>
        <v>#VALUE!</v>
      </c>
      <c r="BU65" s="108">
        <f>IFERROR(+BV65/BT65,0)</f>
        <v>0</v>
      </c>
      <c r="BV65" s="122" t="e">
        <f>+BV63+BV64</f>
        <v>#VALUE!</v>
      </c>
    </row>
    <row r="66" spans="2:74" ht="15" hidden="1" thickBot="1">
      <c r="B66" s="51" t="str">
        <f>CONCATENATE(E66,O66)</f>
        <v>11031103414085</v>
      </c>
      <c r="C66" s="10" t="str">
        <f t="shared" si="13"/>
        <v>1103110YJ-5085AN</v>
      </c>
      <c r="D66" s="51" t="str">
        <f>CONCATENATE(E66,R66)</f>
        <v>1103110YJ-5085AN</v>
      </c>
      <c r="E66" s="38">
        <f t="shared" si="3"/>
        <v>1103110</v>
      </c>
      <c r="F66" s="54" t="str">
        <f>IF(H66=0,F64,H66)</f>
        <v>TPAA130</v>
      </c>
      <c r="G66" s="55"/>
      <c r="H66" s="190"/>
      <c r="I66" s="34" t="s">
        <v>89</v>
      </c>
      <c r="J66" s="51"/>
      <c r="K66" s="53"/>
      <c r="L66" s="46"/>
      <c r="M66" s="46"/>
      <c r="N66" s="56"/>
      <c r="O66" s="53" t="s">
        <v>46</v>
      </c>
      <c r="P66" s="43">
        <f>+O66*1</f>
        <v>3414085</v>
      </c>
      <c r="Q66" s="44" t="str">
        <f>VLOOKUP(P66,[1]A!D:G,3,FALSE)</f>
        <v>SEBS</v>
      </c>
      <c r="R66" s="45" t="s">
        <v>47</v>
      </c>
      <c r="S66" s="99">
        <v>0</v>
      </c>
      <c r="T66" s="100">
        <v>0</v>
      </c>
      <c r="U66" s="100">
        <v>0</v>
      </c>
      <c r="V66" s="101">
        <v>0</v>
      </c>
      <c r="W66" s="99">
        <v>0</v>
      </c>
      <c r="X66" s="100">
        <v>0</v>
      </c>
      <c r="Y66" s="100">
        <v>0</v>
      </c>
      <c r="Z66" s="101">
        <v>0</v>
      </c>
      <c r="AA66" s="99">
        <v>0</v>
      </c>
      <c r="AB66" s="100">
        <v>0</v>
      </c>
      <c r="AC66" s="100">
        <v>0</v>
      </c>
      <c r="AD66" s="101">
        <v>0</v>
      </c>
      <c r="AE66" s="99">
        <v>0</v>
      </c>
      <c r="AF66" s="100">
        <v>0</v>
      </c>
      <c r="AG66" s="100">
        <v>0</v>
      </c>
      <c r="AH66" s="102">
        <v>0</v>
      </c>
      <c r="AI66" s="99">
        <v>0</v>
      </c>
      <c r="AJ66" s="100">
        <v>0</v>
      </c>
      <c r="AK66" s="100">
        <v>0</v>
      </c>
      <c r="AL66" s="102">
        <v>0</v>
      </c>
      <c r="AM66" s="99">
        <v>0</v>
      </c>
      <c r="AN66" s="100">
        <v>0</v>
      </c>
      <c r="AO66" s="100">
        <v>0</v>
      </c>
      <c r="AP66" s="102">
        <v>0</v>
      </c>
      <c r="AQ66" s="99">
        <v>0</v>
      </c>
      <c r="AR66" s="100">
        <v>0</v>
      </c>
      <c r="AS66" s="100">
        <v>0</v>
      </c>
      <c r="AT66" s="102">
        <v>0</v>
      </c>
      <c r="AU66" s="99">
        <v>0</v>
      </c>
      <c r="AV66" s="100">
        <v>0</v>
      </c>
      <c r="AW66" s="100">
        <v>0</v>
      </c>
      <c r="AX66" s="102">
        <v>0</v>
      </c>
      <c r="AY66" s="99">
        <v>0</v>
      </c>
      <c r="AZ66" s="100">
        <v>0</v>
      </c>
      <c r="BA66" s="100">
        <v>0</v>
      </c>
      <c r="BB66" s="102">
        <v>0</v>
      </c>
      <c r="BC66" s="99">
        <v>0</v>
      </c>
      <c r="BD66" s="100">
        <v>0</v>
      </c>
      <c r="BE66" s="100">
        <v>0</v>
      </c>
      <c r="BF66" s="101">
        <v>0</v>
      </c>
      <c r="BG66" s="99">
        <v>0</v>
      </c>
      <c r="BH66" s="100">
        <v>0</v>
      </c>
      <c r="BI66" s="100">
        <v>0</v>
      </c>
      <c r="BJ66" s="101">
        <v>0</v>
      </c>
      <c r="BK66" s="99">
        <v>0</v>
      </c>
      <c r="BL66" s="100">
        <v>0</v>
      </c>
      <c r="BM66" s="100">
        <v>0</v>
      </c>
      <c r="BN66" s="101">
        <v>0</v>
      </c>
      <c r="BO66" s="99" t="e">
        <f>SUMIF('[1]재료비23.01'!$A:$A,[1]생산내역!$B516,'[1]재료비23.01'!$O:$O)</f>
        <v>#VALUE!</v>
      </c>
      <c r="BP66" s="100" t="e">
        <f>SUMIF('[1]재료비23.01'!$A:$A,[1]생산내역!$B516,'[1]재료비23.01'!$P:$P)</f>
        <v>#VALUE!</v>
      </c>
      <c r="BQ66" s="100" t="e">
        <f>SUMIF('[1]재료비23.01'!$A:$A,[1]생산내역!$B516,'[1]재료비23.01'!$Q:$Q)</f>
        <v>#VALUE!</v>
      </c>
      <c r="BR66" s="101" t="e">
        <f>SUMIF('[1]재료비23.01'!$A:$A,[1]생산내역!$B516,'[1]재료비23.01'!$R:$R)</f>
        <v>#VALUE!</v>
      </c>
      <c r="BS66" s="99" t="e">
        <f>SUMIF('[1]재료비23.02'!$A:$A,[1]생산내역!$B516,'[1]재료비23.02'!$O:$O)</f>
        <v>#VALUE!</v>
      </c>
      <c r="BT66" s="100" t="e">
        <f>SUMIF('[1]재료비23.02'!$A:$A,[1]생산내역!$B516,'[1]재료비23.02'!$P:$P)</f>
        <v>#VALUE!</v>
      </c>
      <c r="BU66" s="100" t="e">
        <f>SUMIF('[1]재료비23.02'!$A:$A,[1]생산내역!$B516,'[1]재료비23.02'!$Q:$Q)</f>
        <v>#VALUE!</v>
      </c>
      <c r="BV66" s="101" t="e">
        <f>SUMIF('[1]재료비23.02'!$A:$A,[1]생산내역!$B516,'[1]재료비23.02'!$R:$R)</f>
        <v>#VALUE!</v>
      </c>
    </row>
    <row r="67" spans="2:74" ht="15" hidden="1" thickBot="1">
      <c r="B67" s="51" t="str">
        <f>CONCATENATE(E67,O67)</f>
        <v>11031103414101</v>
      </c>
      <c r="C67" s="10" t="str">
        <f t="shared" si="13"/>
        <v>1103110TSRC 6152</v>
      </c>
      <c r="D67" s="51" t="str">
        <f>CONCATENATE(E67,R67)</f>
        <v>1103110TSRC 6152</v>
      </c>
      <c r="E67" s="38">
        <f t="shared" si="3"/>
        <v>1103110</v>
      </c>
      <c r="F67" s="54" t="str">
        <f>IF(H67=0,F66,H67)</f>
        <v>TPAA130</v>
      </c>
      <c r="G67" s="55"/>
      <c r="H67" s="190"/>
      <c r="I67" s="34" t="s">
        <v>89</v>
      </c>
      <c r="J67" s="51"/>
      <c r="K67" s="53"/>
      <c r="L67" s="46"/>
      <c r="M67" s="46"/>
      <c r="N67" s="56"/>
      <c r="O67" s="53" t="s">
        <v>90</v>
      </c>
      <c r="P67" s="43">
        <f>+O67*1</f>
        <v>3414101</v>
      </c>
      <c r="Q67" s="44" t="str">
        <f>VLOOKUP(P67,[1]A!D:G,3,FALSE)</f>
        <v>SEBS</v>
      </c>
      <c r="R67" s="45" t="s">
        <v>91</v>
      </c>
      <c r="S67" s="99">
        <v>0</v>
      </c>
      <c r="T67" s="100">
        <v>0</v>
      </c>
      <c r="U67" s="100">
        <v>0</v>
      </c>
      <c r="V67" s="101">
        <v>0</v>
      </c>
      <c r="W67" s="99">
        <v>0</v>
      </c>
      <c r="X67" s="100">
        <v>0</v>
      </c>
      <c r="Y67" s="100">
        <v>0</v>
      </c>
      <c r="Z67" s="101">
        <v>0</v>
      </c>
      <c r="AA67" s="99">
        <v>0</v>
      </c>
      <c r="AB67" s="100">
        <v>0</v>
      </c>
      <c r="AC67" s="100">
        <v>0</v>
      </c>
      <c r="AD67" s="101">
        <v>0</v>
      </c>
      <c r="AE67" s="99">
        <v>0</v>
      </c>
      <c r="AF67" s="100">
        <v>0</v>
      </c>
      <c r="AG67" s="100">
        <v>0</v>
      </c>
      <c r="AH67" s="102">
        <v>0</v>
      </c>
      <c r="AI67" s="99">
        <v>0</v>
      </c>
      <c r="AJ67" s="100">
        <v>0</v>
      </c>
      <c r="AK67" s="100">
        <v>0</v>
      </c>
      <c r="AL67" s="102">
        <v>0</v>
      </c>
      <c r="AM67" s="99">
        <v>0</v>
      </c>
      <c r="AN67" s="100">
        <v>0</v>
      </c>
      <c r="AO67" s="100">
        <v>0</v>
      </c>
      <c r="AP67" s="102">
        <v>0</v>
      </c>
      <c r="AQ67" s="99">
        <v>0</v>
      </c>
      <c r="AR67" s="100">
        <v>0</v>
      </c>
      <c r="AS67" s="100">
        <v>0</v>
      </c>
      <c r="AT67" s="102">
        <v>0</v>
      </c>
      <c r="AU67" s="99">
        <v>0</v>
      </c>
      <c r="AV67" s="100">
        <v>0</v>
      </c>
      <c r="AW67" s="100">
        <v>0</v>
      </c>
      <c r="AX67" s="102">
        <v>0</v>
      </c>
      <c r="AY67" s="99">
        <v>0</v>
      </c>
      <c r="AZ67" s="100">
        <v>0</v>
      </c>
      <c r="BA67" s="100">
        <v>0</v>
      </c>
      <c r="BB67" s="102">
        <v>0</v>
      </c>
      <c r="BC67" s="99">
        <v>0</v>
      </c>
      <c r="BD67" s="100">
        <v>0</v>
      </c>
      <c r="BE67" s="100">
        <v>0</v>
      </c>
      <c r="BF67" s="101">
        <v>0</v>
      </c>
      <c r="BG67" s="99">
        <v>0</v>
      </c>
      <c r="BH67" s="100">
        <v>0</v>
      </c>
      <c r="BI67" s="100">
        <v>0</v>
      </c>
      <c r="BJ67" s="101">
        <v>0</v>
      </c>
      <c r="BK67" s="99">
        <v>0</v>
      </c>
      <c r="BL67" s="100">
        <v>0</v>
      </c>
      <c r="BM67" s="100">
        <v>0</v>
      </c>
      <c r="BN67" s="101">
        <v>0</v>
      </c>
      <c r="BO67" s="99" t="e">
        <f>SUMIF('[1]재료비23.01'!$A:$A,[1]생산내역!$B517,'[1]재료비23.01'!$O:$O)</f>
        <v>#VALUE!</v>
      </c>
      <c r="BP67" s="100" t="e">
        <f>SUMIF('[1]재료비23.01'!$A:$A,[1]생산내역!$B517,'[1]재료비23.01'!$P:$P)</f>
        <v>#VALUE!</v>
      </c>
      <c r="BQ67" s="100" t="e">
        <f>SUMIF('[1]재료비23.01'!$A:$A,[1]생산내역!$B517,'[1]재료비23.01'!$Q:$Q)</f>
        <v>#VALUE!</v>
      </c>
      <c r="BR67" s="101" t="e">
        <f>SUMIF('[1]재료비23.01'!$A:$A,[1]생산내역!$B517,'[1]재료비23.01'!$R:$R)</f>
        <v>#VALUE!</v>
      </c>
      <c r="BS67" s="99" t="e">
        <f>SUMIF('[1]재료비23.02'!$A:$A,[1]생산내역!$B517,'[1]재료비23.02'!$O:$O)</f>
        <v>#VALUE!</v>
      </c>
      <c r="BT67" s="100" t="e">
        <f>SUMIF('[1]재료비23.02'!$A:$A,[1]생산내역!$B517,'[1]재료비23.02'!$P:$P)</f>
        <v>#VALUE!</v>
      </c>
      <c r="BU67" s="100" t="e">
        <f>SUMIF('[1]재료비23.02'!$A:$A,[1]생산내역!$B517,'[1]재료비23.02'!$Q:$Q)</f>
        <v>#VALUE!</v>
      </c>
      <c r="BV67" s="101" t="e">
        <f>SUMIF('[1]재료비23.02'!$A:$A,[1]생산내역!$B517,'[1]재료비23.02'!$R:$R)</f>
        <v>#VALUE!</v>
      </c>
    </row>
    <row r="68" spans="2:74" s="47" customFormat="1" ht="15" hidden="1" thickBot="1">
      <c r="B68" s="1"/>
      <c r="C68" s="10" t="str">
        <f t="shared" si="13"/>
        <v>1103110SEBS</v>
      </c>
      <c r="D68" s="1"/>
      <c r="E68" s="38">
        <f t="shared" si="3"/>
        <v>1103110</v>
      </c>
      <c r="F68" s="57"/>
      <c r="G68" s="33"/>
      <c r="H68" s="190"/>
      <c r="I68" s="34" t="s">
        <v>89</v>
      </c>
      <c r="J68" s="40"/>
      <c r="K68" s="38"/>
      <c r="L68" s="41"/>
      <c r="M68" s="41"/>
      <c r="N68" s="42"/>
      <c r="O68" s="38"/>
      <c r="P68" s="48"/>
      <c r="Q68" s="49">
        <f>VLOOKUP(P68,[1]A!D:G,3,FALSE)</f>
        <v>0</v>
      </c>
      <c r="R68" s="50" t="str">
        <f>+Q67</f>
        <v>SEBS</v>
      </c>
      <c r="S68" s="107">
        <v>0</v>
      </c>
      <c r="T68" s="108">
        <v>0</v>
      </c>
      <c r="U68" s="108">
        <v>0</v>
      </c>
      <c r="V68" s="122">
        <v>0</v>
      </c>
      <c r="W68" s="107">
        <v>0</v>
      </c>
      <c r="X68" s="108">
        <v>0</v>
      </c>
      <c r="Y68" s="108">
        <v>0</v>
      </c>
      <c r="Z68" s="122">
        <v>0</v>
      </c>
      <c r="AA68" s="107">
        <v>0</v>
      </c>
      <c r="AB68" s="108">
        <v>0</v>
      </c>
      <c r="AC68" s="108">
        <v>0</v>
      </c>
      <c r="AD68" s="122">
        <v>0</v>
      </c>
      <c r="AE68" s="107">
        <v>0</v>
      </c>
      <c r="AF68" s="108">
        <v>0</v>
      </c>
      <c r="AG68" s="108">
        <v>0</v>
      </c>
      <c r="AH68" s="109">
        <v>0</v>
      </c>
      <c r="AI68" s="107">
        <v>0</v>
      </c>
      <c r="AJ68" s="108">
        <v>0</v>
      </c>
      <c r="AK68" s="108">
        <v>0</v>
      </c>
      <c r="AL68" s="109">
        <v>0</v>
      </c>
      <c r="AM68" s="107">
        <v>0</v>
      </c>
      <c r="AN68" s="108">
        <v>0</v>
      </c>
      <c r="AO68" s="108">
        <v>0</v>
      </c>
      <c r="AP68" s="109">
        <v>0</v>
      </c>
      <c r="AQ68" s="107">
        <v>0</v>
      </c>
      <c r="AR68" s="108">
        <v>0</v>
      </c>
      <c r="AS68" s="108">
        <v>0</v>
      </c>
      <c r="AT68" s="109">
        <v>0</v>
      </c>
      <c r="AU68" s="107">
        <v>0</v>
      </c>
      <c r="AV68" s="108">
        <v>0</v>
      </c>
      <c r="AW68" s="108">
        <v>0</v>
      </c>
      <c r="AX68" s="109">
        <v>0</v>
      </c>
      <c r="AY68" s="107">
        <v>0</v>
      </c>
      <c r="AZ68" s="108">
        <v>0</v>
      </c>
      <c r="BA68" s="108">
        <v>0</v>
      </c>
      <c r="BB68" s="109">
        <v>0</v>
      </c>
      <c r="BC68" s="107">
        <v>0</v>
      </c>
      <c r="BD68" s="108">
        <v>0</v>
      </c>
      <c r="BE68" s="108">
        <v>0</v>
      </c>
      <c r="BF68" s="122">
        <v>0</v>
      </c>
      <c r="BG68" s="107">
        <v>0</v>
      </c>
      <c r="BH68" s="108">
        <v>0</v>
      </c>
      <c r="BI68" s="108">
        <v>0</v>
      </c>
      <c r="BJ68" s="122">
        <v>0</v>
      </c>
      <c r="BK68" s="107">
        <v>0</v>
      </c>
      <c r="BL68" s="108">
        <v>0</v>
      </c>
      <c r="BM68" s="108">
        <v>0</v>
      </c>
      <c r="BN68" s="122">
        <v>0</v>
      </c>
      <c r="BO68" s="107" t="e">
        <f>+BO66+BO67</f>
        <v>#VALUE!</v>
      </c>
      <c r="BP68" s="108" t="e">
        <f>+BP66+BP67</f>
        <v>#VALUE!</v>
      </c>
      <c r="BQ68" s="108">
        <f>IFERROR(+BR68/BP68,0)</f>
        <v>0</v>
      </c>
      <c r="BR68" s="122" t="e">
        <f>+BR66+BR67</f>
        <v>#VALUE!</v>
      </c>
      <c r="BS68" s="107" t="e">
        <f>+BS66+BS67</f>
        <v>#VALUE!</v>
      </c>
      <c r="BT68" s="108" t="e">
        <f>+BT66+BT67</f>
        <v>#VALUE!</v>
      </c>
      <c r="BU68" s="108">
        <f>IFERROR(+BV68/BT68,0)</f>
        <v>0</v>
      </c>
      <c r="BV68" s="122" t="e">
        <f>+BV66+BV67</f>
        <v>#VALUE!</v>
      </c>
    </row>
    <row r="69" spans="2:74" ht="15" hidden="1" thickBot="1">
      <c r="B69" s="1" t="str">
        <f>CONCATENATE(E69,O69)</f>
        <v>11031103459011</v>
      </c>
      <c r="C69" s="10" t="str">
        <f t="shared" si="13"/>
        <v>1103110T435N(태산)</v>
      </c>
      <c r="D69" s="1" t="str">
        <f t="shared" ref="D69:D74" si="17">CONCATENATE(E69,R69)</f>
        <v>1103110T435N(태산)</v>
      </c>
      <c r="E69" s="38">
        <f t="shared" ref="E69:E73" si="18">IF(G69=0,E68,G69)</f>
        <v>1103110</v>
      </c>
      <c r="F69" s="39" t="str">
        <f>IF(H69=0,F67,H69)</f>
        <v>TPAA130</v>
      </c>
      <c r="G69" s="33"/>
      <c r="H69" s="190"/>
      <c r="I69" s="34" t="s">
        <v>89</v>
      </c>
      <c r="K69" s="38"/>
      <c r="L69" s="41"/>
      <c r="M69" s="41"/>
      <c r="N69" s="42"/>
      <c r="O69" s="38" t="s">
        <v>64</v>
      </c>
      <c r="P69" s="48">
        <f t="shared" ref="P69:P74" si="19">+O69*1</f>
        <v>3459011</v>
      </c>
      <c r="Q69" s="49" t="str">
        <f>VLOOKUP(P69,[1]A!D:G,3,FALSE)</f>
        <v>G/F</v>
      </c>
      <c r="R69" s="110" t="s">
        <v>65</v>
      </c>
      <c r="S69" s="103">
        <v>0</v>
      </c>
      <c r="T69" s="104">
        <v>0</v>
      </c>
      <c r="U69" s="104">
        <v>0</v>
      </c>
      <c r="V69" s="105">
        <v>0</v>
      </c>
      <c r="W69" s="103">
        <v>0</v>
      </c>
      <c r="X69" s="104">
        <v>0</v>
      </c>
      <c r="Y69" s="104">
        <v>0</v>
      </c>
      <c r="Z69" s="105">
        <v>0</v>
      </c>
      <c r="AA69" s="103">
        <v>0</v>
      </c>
      <c r="AB69" s="104">
        <v>0</v>
      </c>
      <c r="AC69" s="104">
        <v>0</v>
      </c>
      <c r="AD69" s="105">
        <v>0</v>
      </c>
      <c r="AE69" s="103">
        <v>0</v>
      </c>
      <c r="AF69" s="104">
        <v>0</v>
      </c>
      <c r="AG69" s="104">
        <v>0</v>
      </c>
      <c r="AH69" s="106">
        <v>0</v>
      </c>
      <c r="AI69" s="103">
        <v>0</v>
      </c>
      <c r="AJ69" s="104">
        <v>0</v>
      </c>
      <c r="AK69" s="104">
        <v>0</v>
      </c>
      <c r="AL69" s="106">
        <v>0</v>
      </c>
      <c r="AM69" s="103">
        <v>0</v>
      </c>
      <c r="AN69" s="104">
        <v>0</v>
      </c>
      <c r="AO69" s="104">
        <v>0</v>
      </c>
      <c r="AP69" s="106">
        <v>0</v>
      </c>
      <c r="AQ69" s="103">
        <v>0</v>
      </c>
      <c r="AR69" s="104">
        <v>0</v>
      </c>
      <c r="AS69" s="104">
        <v>0</v>
      </c>
      <c r="AT69" s="106">
        <v>0</v>
      </c>
      <c r="AU69" s="103">
        <v>0</v>
      </c>
      <c r="AV69" s="104">
        <v>0</v>
      </c>
      <c r="AW69" s="104">
        <v>0</v>
      </c>
      <c r="AX69" s="106">
        <v>0</v>
      </c>
      <c r="AY69" s="103">
        <v>0</v>
      </c>
      <c r="AZ69" s="104">
        <v>0</v>
      </c>
      <c r="BA69" s="104">
        <v>0</v>
      </c>
      <c r="BB69" s="106">
        <v>0</v>
      </c>
      <c r="BC69" s="103">
        <v>0</v>
      </c>
      <c r="BD69" s="104">
        <v>0</v>
      </c>
      <c r="BE69" s="104">
        <v>0</v>
      </c>
      <c r="BF69" s="105">
        <v>0</v>
      </c>
      <c r="BG69" s="103">
        <v>0</v>
      </c>
      <c r="BH69" s="104">
        <v>0</v>
      </c>
      <c r="BI69" s="104">
        <v>0</v>
      </c>
      <c r="BJ69" s="105">
        <v>0</v>
      </c>
      <c r="BK69" s="103">
        <v>0</v>
      </c>
      <c r="BL69" s="104">
        <v>0</v>
      </c>
      <c r="BM69" s="104">
        <v>0</v>
      </c>
      <c r="BN69" s="105">
        <v>0</v>
      </c>
      <c r="BO69" s="103" t="e">
        <f>SUMIF('[1]재료비23.01'!$A:$A,[1]생산내역!$B519,'[1]재료비23.01'!$O:$O)</f>
        <v>#VALUE!</v>
      </c>
      <c r="BP69" s="104" t="e">
        <f>SUMIF('[1]재료비23.01'!$A:$A,[1]생산내역!$B519,'[1]재료비23.01'!$P:$P)</f>
        <v>#VALUE!</v>
      </c>
      <c r="BQ69" s="104" t="e">
        <f>SUMIF('[1]재료비23.01'!$A:$A,[1]생산내역!$B519,'[1]재료비23.01'!$Q:$Q)</f>
        <v>#VALUE!</v>
      </c>
      <c r="BR69" s="105" t="e">
        <f>SUMIF('[1]재료비23.01'!$A:$A,[1]생산내역!$B519,'[1]재료비23.01'!$R:$R)</f>
        <v>#VALUE!</v>
      </c>
      <c r="BS69" s="103" t="e">
        <f>SUMIF('[1]재료비23.02'!$A:$A,[1]생산내역!$B519,'[1]재료비23.02'!$O:$O)</f>
        <v>#VALUE!</v>
      </c>
      <c r="BT69" s="104" t="e">
        <f>SUMIF('[1]재료비23.02'!$A:$A,[1]생산내역!$B519,'[1]재료비23.02'!$P:$P)</f>
        <v>#VALUE!</v>
      </c>
      <c r="BU69" s="104" t="e">
        <f>SUMIF('[1]재료비23.02'!$A:$A,[1]생산내역!$B519,'[1]재료비23.02'!$Q:$Q)</f>
        <v>#VALUE!</v>
      </c>
      <c r="BV69" s="105" t="e">
        <f>SUMIF('[1]재료비23.02'!$A:$A,[1]생산내역!$B519,'[1]재료비23.02'!$R:$R)</f>
        <v>#VALUE!</v>
      </c>
    </row>
    <row r="70" spans="2:74" s="17" customFormat="1" ht="15" hidden="1" thickBot="1">
      <c r="B70" s="58" t="str">
        <f>CONCATENATE(E70,O70)</f>
        <v>1103110</v>
      </c>
      <c r="C70" s="10" t="str">
        <f t="shared" si="13"/>
        <v>1103110생산투입</v>
      </c>
      <c r="D70" s="1" t="str">
        <f t="shared" si="17"/>
        <v>1103110생산투입</v>
      </c>
      <c r="E70" s="38">
        <f t="shared" si="18"/>
        <v>1103110</v>
      </c>
      <c r="F70" s="60" t="str">
        <f>CONCATENATE(F69,R70)</f>
        <v>TPAA130생산투입</v>
      </c>
      <c r="G70" s="33"/>
      <c r="H70" s="190"/>
      <c r="I70" s="34" t="s">
        <v>89</v>
      </c>
      <c r="J70" s="61"/>
      <c r="K70" s="59"/>
      <c r="L70" s="62"/>
      <c r="M70" s="62"/>
      <c r="N70" s="63"/>
      <c r="O70" s="59"/>
      <c r="P70" s="64">
        <f t="shared" si="19"/>
        <v>0</v>
      </c>
      <c r="Q70" s="65">
        <f>VLOOKUP(P70,[1]A!D:G,3,FALSE)</f>
        <v>0</v>
      </c>
      <c r="R70" s="66" t="s">
        <v>75</v>
      </c>
      <c r="S70" s="111">
        <v>0</v>
      </c>
      <c r="T70" s="112">
        <v>0</v>
      </c>
      <c r="U70" s="112">
        <v>0</v>
      </c>
      <c r="V70" s="113">
        <v>0</v>
      </c>
      <c r="W70" s="111">
        <v>0</v>
      </c>
      <c r="X70" s="112">
        <v>0</v>
      </c>
      <c r="Y70" s="112">
        <v>0</v>
      </c>
      <c r="Z70" s="113">
        <v>0</v>
      </c>
      <c r="AA70" s="111">
        <v>0</v>
      </c>
      <c r="AB70" s="112">
        <v>0</v>
      </c>
      <c r="AC70" s="112">
        <v>0</v>
      </c>
      <c r="AD70" s="113">
        <v>0</v>
      </c>
      <c r="AE70" s="111">
        <v>0</v>
      </c>
      <c r="AF70" s="112">
        <v>0</v>
      </c>
      <c r="AG70" s="112">
        <v>0</v>
      </c>
      <c r="AH70" s="114">
        <v>0</v>
      </c>
      <c r="AI70" s="111">
        <v>0</v>
      </c>
      <c r="AJ70" s="112">
        <v>0</v>
      </c>
      <c r="AK70" s="112">
        <v>0</v>
      </c>
      <c r="AL70" s="114">
        <v>0</v>
      </c>
      <c r="AM70" s="111">
        <v>0</v>
      </c>
      <c r="AN70" s="112">
        <v>0</v>
      </c>
      <c r="AO70" s="112">
        <v>0</v>
      </c>
      <c r="AP70" s="114">
        <v>0</v>
      </c>
      <c r="AQ70" s="111">
        <v>0</v>
      </c>
      <c r="AR70" s="112">
        <v>0</v>
      </c>
      <c r="AS70" s="112">
        <v>0</v>
      </c>
      <c r="AT70" s="114">
        <v>0</v>
      </c>
      <c r="AU70" s="111">
        <v>0</v>
      </c>
      <c r="AV70" s="112">
        <v>0</v>
      </c>
      <c r="AW70" s="112">
        <v>0</v>
      </c>
      <c r="AX70" s="114">
        <v>0</v>
      </c>
      <c r="AY70" s="111">
        <v>0</v>
      </c>
      <c r="AZ70" s="112">
        <v>0</v>
      </c>
      <c r="BA70" s="112">
        <v>0</v>
      </c>
      <c r="BB70" s="114">
        <v>0</v>
      </c>
      <c r="BC70" s="111">
        <v>0</v>
      </c>
      <c r="BD70" s="112">
        <v>0</v>
      </c>
      <c r="BE70" s="112">
        <v>0</v>
      </c>
      <c r="BF70" s="113">
        <v>0</v>
      </c>
      <c r="BG70" s="111">
        <v>0</v>
      </c>
      <c r="BH70" s="112">
        <v>0</v>
      </c>
      <c r="BI70" s="112">
        <v>0</v>
      </c>
      <c r="BJ70" s="113">
        <v>0</v>
      </c>
      <c r="BK70" s="111">
        <v>0</v>
      </c>
      <c r="BL70" s="112">
        <v>0</v>
      </c>
      <c r="BM70" s="112">
        <v>0</v>
      </c>
      <c r="BN70" s="113">
        <v>0</v>
      </c>
      <c r="BO70" s="111" t="e">
        <f>SUM(BO62:BO69)-BO65-BO68</f>
        <v>#VALUE!</v>
      </c>
      <c r="BP70" s="112" t="e">
        <f>SUM(BP62:BP69)-BP65-BP68</f>
        <v>#VALUE!</v>
      </c>
      <c r="BQ70" s="112">
        <f>IFERROR(+BR70/BP70,0)</f>
        <v>0</v>
      </c>
      <c r="BR70" s="113" t="e">
        <f>SUM(BR62:BR69)-BR65-BR68</f>
        <v>#VALUE!</v>
      </c>
      <c r="BS70" s="111" t="e">
        <f>SUM(BS62:BS69)-BS65-BS68</f>
        <v>#VALUE!</v>
      </c>
      <c r="BT70" s="112" t="e">
        <f>SUM(BT62:BT69)-BT65-BT68</f>
        <v>#VALUE!</v>
      </c>
      <c r="BU70" s="112">
        <f>IFERROR(+BV70/BT70,0)</f>
        <v>0</v>
      </c>
      <c r="BV70" s="113" t="e">
        <f>SUM(BV62:BV69)-BV65-BV68</f>
        <v>#VALUE!</v>
      </c>
    </row>
    <row r="71" spans="2:74" s="17" customFormat="1" ht="15" hidden="1" thickBot="1">
      <c r="B71" s="10"/>
      <c r="C71" s="10" t="str">
        <f t="shared" si="13"/>
        <v>1103110Loss</v>
      </c>
      <c r="D71" s="1" t="str">
        <f t="shared" si="17"/>
        <v>1103110Loss</v>
      </c>
      <c r="E71" s="38">
        <f t="shared" si="18"/>
        <v>1103110</v>
      </c>
      <c r="F71" s="78"/>
      <c r="G71" s="33"/>
      <c r="H71" s="190"/>
      <c r="I71" s="34" t="s">
        <v>89</v>
      </c>
      <c r="J71" s="68"/>
      <c r="K71" s="69"/>
      <c r="L71" s="70"/>
      <c r="M71" s="70"/>
      <c r="N71" s="71"/>
      <c r="O71" s="69"/>
      <c r="P71" s="72">
        <f t="shared" si="19"/>
        <v>0</v>
      </c>
      <c r="Q71" s="73">
        <f>VLOOKUP(P71,[1]A!D:G,3,FALSE)</f>
        <v>0</v>
      </c>
      <c r="R71" s="74" t="s">
        <v>77</v>
      </c>
      <c r="S71" s="76">
        <v>0</v>
      </c>
      <c r="T71" s="75">
        <v>0</v>
      </c>
      <c r="U71" s="75">
        <v>0</v>
      </c>
      <c r="V71" s="77">
        <v>0</v>
      </c>
      <c r="W71" s="76">
        <v>0</v>
      </c>
      <c r="X71" s="75">
        <v>0</v>
      </c>
      <c r="Y71" s="75">
        <v>0</v>
      </c>
      <c r="Z71" s="77">
        <v>0</v>
      </c>
      <c r="AA71" s="76">
        <v>0</v>
      </c>
      <c r="AB71" s="75">
        <v>0</v>
      </c>
      <c r="AC71" s="75">
        <v>0</v>
      </c>
      <c r="AD71" s="77">
        <v>0</v>
      </c>
      <c r="AE71" s="76">
        <v>0</v>
      </c>
      <c r="AF71" s="75">
        <v>0</v>
      </c>
      <c r="AG71" s="75">
        <v>0</v>
      </c>
      <c r="AH71" s="119">
        <v>0</v>
      </c>
      <c r="AI71" s="76">
        <v>0</v>
      </c>
      <c r="AJ71" s="75">
        <v>0</v>
      </c>
      <c r="AK71" s="75">
        <v>0</v>
      </c>
      <c r="AL71" s="119">
        <v>0</v>
      </c>
      <c r="AM71" s="76">
        <v>0</v>
      </c>
      <c r="AN71" s="75">
        <v>0</v>
      </c>
      <c r="AO71" s="75">
        <v>0</v>
      </c>
      <c r="AP71" s="119">
        <v>0</v>
      </c>
      <c r="AQ71" s="76">
        <v>0</v>
      </c>
      <c r="AR71" s="75">
        <v>0</v>
      </c>
      <c r="AS71" s="75">
        <v>0</v>
      </c>
      <c r="AT71" s="119">
        <v>0</v>
      </c>
      <c r="AU71" s="76">
        <v>0</v>
      </c>
      <c r="AV71" s="75">
        <v>0</v>
      </c>
      <c r="AW71" s="75">
        <v>0</v>
      </c>
      <c r="AX71" s="119">
        <v>0</v>
      </c>
      <c r="AY71" s="76">
        <v>0</v>
      </c>
      <c r="AZ71" s="75">
        <v>0</v>
      </c>
      <c r="BA71" s="75">
        <v>0</v>
      </c>
      <c r="BB71" s="119">
        <v>0</v>
      </c>
      <c r="BC71" s="76">
        <v>0</v>
      </c>
      <c r="BD71" s="75">
        <v>0</v>
      </c>
      <c r="BE71" s="75">
        <v>0</v>
      </c>
      <c r="BF71" s="77">
        <v>0</v>
      </c>
      <c r="BG71" s="76">
        <v>0</v>
      </c>
      <c r="BH71" s="75">
        <v>0</v>
      </c>
      <c r="BI71" s="75">
        <v>0</v>
      </c>
      <c r="BJ71" s="77">
        <v>0</v>
      </c>
      <c r="BK71" s="76">
        <v>0</v>
      </c>
      <c r="BL71" s="75">
        <v>0</v>
      </c>
      <c r="BM71" s="75">
        <v>0</v>
      </c>
      <c r="BN71" s="77">
        <v>0</v>
      </c>
      <c r="BO71" s="76">
        <f>IFERROR(+BP71/BP70,0)</f>
        <v>0</v>
      </c>
      <c r="BP71" s="75" t="e">
        <f>SUMIF('[1]Loss TOTAL'!$AV:$AV,$E70,'[1]Loss TOTAL'!JP:JP)</f>
        <v>#VALUE!</v>
      </c>
      <c r="BQ71" s="75">
        <f>IFERROR(+BR71/BP71,0)</f>
        <v>0</v>
      </c>
      <c r="BR71" s="77" t="e">
        <f>+BR70-SUMIF('[1]23.01원가'!$C:$C,[1]생산내역!$E520,'[1]23.01원가'!$AF:$AF)</f>
        <v>#VALUE!</v>
      </c>
      <c r="BS71" s="76">
        <f>IFERROR(+BT71/BT70,0)</f>
        <v>0</v>
      </c>
      <c r="BT71" s="75" t="e">
        <f>SUMIF('[1]Loss TOTAL'!$AV:$AV,$E70,'[1]Loss TOTAL'!JT:JT)</f>
        <v>#VALUE!</v>
      </c>
      <c r="BU71" s="75">
        <f>IFERROR(+BV71/BT71,0)</f>
        <v>0</v>
      </c>
      <c r="BV71" s="77" t="e">
        <f>+BV70-SUMIF('[1]23.02원가'!$C:$C,[1]생산내역!$E520,'[1]23.02원가'!$AF:$AF)</f>
        <v>#VALUE!</v>
      </c>
    </row>
    <row r="72" spans="2:74" s="17" customFormat="1" ht="15" hidden="1" thickBot="1">
      <c r="B72" s="10"/>
      <c r="C72" s="10" t="str">
        <f t="shared" si="13"/>
        <v>1103110출고</v>
      </c>
      <c r="D72" s="1" t="str">
        <f t="shared" si="17"/>
        <v>1103110출고</v>
      </c>
      <c r="E72" s="38">
        <f t="shared" si="18"/>
        <v>1103110</v>
      </c>
      <c r="F72" s="78" t="s">
        <v>89</v>
      </c>
      <c r="G72" s="33"/>
      <c r="H72" s="190"/>
      <c r="I72" s="34" t="s">
        <v>89</v>
      </c>
      <c r="J72" s="68"/>
      <c r="K72" s="69"/>
      <c r="L72" s="70"/>
      <c r="M72" s="70"/>
      <c r="N72" s="71"/>
      <c r="O72" s="69"/>
      <c r="P72" s="72">
        <f t="shared" si="19"/>
        <v>0</v>
      </c>
      <c r="Q72" s="73">
        <f>VLOOKUP(P72,[1]A!D:G,3,FALSE)</f>
        <v>0</v>
      </c>
      <c r="R72" s="74" t="s">
        <v>78</v>
      </c>
      <c r="S72" s="76"/>
      <c r="T72" s="75">
        <v>0</v>
      </c>
      <c r="U72" s="75">
        <v>0</v>
      </c>
      <c r="V72" s="77">
        <v>0</v>
      </c>
      <c r="W72" s="76"/>
      <c r="X72" s="75">
        <v>0</v>
      </c>
      <c r="Y72" s="75">
        <v>0</v>
      </c>
      <c r="Z72" s="77">
        <v>0</v>
      </c>
      <c r="AA72" s="76"/>
      <c r="AB72" s="75">
        <v>0</v>
      </c>
      <c r="AC72" s="75">
        <v>0</v>
      </c>
      <c r="AD72" s="77">
        <v>0</v>
      </c>
      <c r="AE72" s="76"/>
      <c r="AF72" s="75">
        <v>0</v>
      </c>
      <c r="AG72" s="75">
        <v>0</v>
      </c>
      <c r="AH72" s="119">
        <v>0</v>
      </c>
      <c r="AI72" s="76"/>
      <c r="AJ72" s="75">
        <v>0</v>
      </c>
      <c r="AK72" s="75">
        <v>0</v>
      </c>
      <c r="AL72" s="119">
        <v>0</v>
      </c>
      <c r="AM72" s="76"/>
      <c r="AN72" s="75">
        <v>0</v>
      </c>
      <c r="AO72" s="75">
        <v>0</v>
      </c>
      <c r="AP72" s="119">
        <v>0</v>
      </c>
      <c r="AQ72" s="76"/>
      <c r="AR72" s="75">
        <v>0</v>
      </c>
      <c r="AS72" s="75">
        <v>0</v>
      </c>
      <c r="AT72" s="119">
        <v>0</v>
      </c>
      <c r="AU72" s="76"/>
      <c r="AV72" s="75">
        <v>0</v>
      </c>
      <c r="AW72" s="75">
        <v>0</v>
      </c>
      <c r="AX72" s="119">
        <v>0</v>
      </c>
      <c r="AY72" s="76"/>
      <c r="AZ72" s="75">
        <v>0</v>
      </c>
      <c r="BA72" s="75">
        <v>0</v>
      </c>
      <c r="BB72" s="119">
        <v>0</v>
      </c>
      <c r="BC72" s="76"/>
      <c r="BD72" s="75">
        <v>0</v>
      </c>
      <c r="BE72" s="75">
        <v>0</v>
      </c>
      <c r="BF72" s="77">
        <v>0</v>
      </c>
      <c r="BG72" s="76"/>
      <c r="BH72" s="75">
        <v>0</v>
      </c>
      <c r="BI72" s="75">
        <v>0</v>
      </c>
      <c r="BJ72" s="77">
        <v>0</v>
      </c>
      <c r="BK72" s="76"/>
      <c r="BL72" s="75">
        <v>0</v>
      </c>
      <c r="BM72" s="75">
        <v>0</v>
      </c>
      <c r="BN72" s="77">
        <v>0</v>
      </c>
      <c r="BO72" s="76"/>
      <c r="BP72" s="75" t="e">
        <f>SUMIF('[1]23.01원가'!$C:$C,[1]생산내역!$E519,'[1]23.01원가'!$Z:$Z)</f>
        <v>#VALUE!</v>
      </c>
      <c r="BQ72" s="75">
        <f>IFERROR(+BR72/BP72,0)</f>
        <v>0</v>
      </c>
      <c r="BR72" s="77" t="e">
        <f>SUMIF('[1]23.01원가'!$C:$C,[1]생산내역!$E519,'[1]23.01원가'!$AB:$AB)</f>
        <v>#VALUE!</v>
      </c>
      <c r="BS72" s="76"/>
      <c r="BT72" s="75" t="e">
        <f>SUMIF('[1]23.02원가'!$C:$C,[1]생산내역!$E519,'[1]23.02원가'!$Z:$Z)</f>
        <v>#VALUE!</v>
      </c>
      <c r="BU72" s="75">
        <f>IFERROR(+BV72/BT72,0)</f>
        <v>0</v>
      </c>
      <c r="BV72" s="77" t="e">
        <f>SUMIF('[1]23.02원가'!$C:$C,[1]생산내역!$E519,'[1]23.02원가'!$AB:$AB)</f>
        <v>#VALUE!</v>
      </c>
    </row>
    <row r="73" spans="2:74" s="17" customFormat="1" ht="18" hidden="1" customHeight="1">
      <c r="B73" s="79" t="str">
        <f>CONCATENATE(E70,D73)</f>
        <v>11031101103110당월재고/단가</v>
      </c>
      <c r="C73" s="10" t="str">
        <f t="shared" si="13"/>
        <v>1103110당월재고/단가</v>
      </c>
      <c r="D73" s="1" t="str">
        <f t="shared" si="17"/>
        <v>1103110당월재고/단가</v>
      </c>
      <c r="E73" s="38">
        <f t="shared" si="18"/>
        <v>1103110</v>
      </c>
      <c r="F73" s="142"/>
      <c r="G73" s="33"/>
      <c r="H73" s="190"/>
      <c r="I73" s="34" t="s">
        <v>89</v>
      </c>
      <c r="J73" s="81"/>
      <c r="K73" s="80"/>
      <c r="L73" s="82"/>
      <c r="M73" s="82"/>
      <c r="N73" s="83"/>
      <c r="O73" s="80"/>
      <c r="P73" s="84">
        <f t="shared" si="19"/>
        <v>0</v>
      </c>
      <c r="Q73" s="85">
        <f>VLOOKUP(P73,[1]A!D:G,3,FALSE)</f>
        <v>0</v>
      </c>
      <c r="R73" s="86" t="s">
        <v>79</v>
      </c>
      <c r="S73" s="88"/>
      <c r="T73" s="87">
        <v>688</v>
      </c>
      <c r="U73" s="87">
        <v>1920.4869186046512</v>
      </c>
      <c r="V73" s="89">
        <v>1321295</v>
      </c>
      <c r="W73" s="88"/>
      <c r="X73" s="87">
        <v>688</v>
      </c>
      <c r="Y73" s="87">
        <v>1920.4869186046512</v>
      </c>
      <c r="Z73" s="89">
        <v>1321295</v>
      </c>
      <c r="AA73" s="88"/>
      <c r="AB73" s="87">
        <v>688</v>
      </c>
      <c r="AC73" s="87">
        <v>1920.4869186046512</v>
      </c>
      <c r="AD73" s="89">
        <v>1321295</v>
      </c>
      <c r="AE73" s="88"/>
      <c r="AF73" s="87">
        <v>688</v>
      </c>
      <c r="AG73" s="87">
        <v>1920.4869186046512</v>
      </c>
      <c r="AH73" s="120">
        <v>1321295</v>
      </c>
      <c r="AI73" s="88"/>
      <c r="AJ73" s="87">
        <v>688</v>
      </c>
      <c r="AK73" s="87">
        <v>1920.4869186046512</v>
      </c>
      <c r="AL73" s="120">
        <v>1321295</v>
      </c>
      <c r="AM73" s="88"/>
      <c r="AN73" s="87">
        <v>688</v>
      </c>
      <c r="AO73" s="87">
        <v>1920.4869186046512</v>
      </c>
      <c r="AP73" s="120">
        <v>1321295</v>
      </c>
      <c r="AQ73" s="88"/>
      <c r="AR73" s="87">
        <v>688</v>
      </c>
      <c r="AS73" s="87">
        <v>1920.4869186046512</v>
      </c>
      <c r="AT73" s="120">
        <v>1321295</v>
      </c>
      <c r="AU73" s="88"/>
      <c r="AV73" s="87">
        <v>688</v>
      </c>
      <c r="AW73" s="87">
        <v>1920.4869186046512</v>
      </c>
      <c r="AX73" s="120">
        <v>1321295</v>
      </c>
      <c r="AY73" s="88"/>
      <c r="AZ73" s="87">
        <v>688</v>
      </c>
      <c r="BA73" s="87">
        <v>1920.4869186046512</v>
      </c>
      <c r="BB73" s="120">
        <v>1321295</v>
      </c>
      <c r="BC73" s="88"/>
      <c r="BD73" s="87">
        <v>688</v>
      </c>
      <c r="BE73" s="87">
        <v>1920.4869186046512</v>
      </c>
      <c r="BF73" s="89">
        <v>1321295</v>
      </c>
      <c r="BG73" s="88"/>
      <c r="BH73" s="87">
        <v>688</v>
      </c>
      <c r="BI73" s="87">
        <v>1920.4869186046512</v>
      </c>
      <c r="BJ73" s="89">
        <v>1321295</v>
      </c>
      <c r="BK73" s="88"/>
      <c r="BL73" s="87">
        <v>688</v>
      </c>
      <c r="BM73" s="87">
        <v>1920.4869186046512</v>
      </c>
      <c r="BN73" s="89">
        <v>1321295</v>
      </c>
      <c r="BO73" s="88"/>
      <c r="BP73" s="87">
        <f>IFERROR(+BP61+BP70-BP71-BP72,0)</f>
        <v>0</v>
      </c>
      <c r="BQ73" s="87">
        <f>IFERROR(+BR73/BP73,0)</f>
        <v>0</v>
      </c>
      <c r="BR73" s="89">
        <f>IFERROR(+BR61+BR70-BR71-BR72,0)</f>
        <v>0</v>
      </c>
      <c r="BS73" s="88"/>
      <c r="BT73" s="87">
        <f>IFERROR(+BT61+BT70-BT71-BT72,0)</f>
        <v>0</v>
      </c>
      <c r="BU73" s="87">
        <f>IFERROR(+BV73/BT73,0)</f>
        <v>0</v>
      </c>
      <c r="BV73" s="89">
        <f>IFERROR(+BV61+BV70-BV71-BV72,0)</f>
        <v>0</v>
      </c>
    </row>
    <row r="74" spans="2:74" s="17" customFormat="1" ht="15" hidden="1" thickBot="1">
      <c r="B74" s="79"/>
      <c r="C74" s="10" t="e">
        <f t="shared" si="13"/>
        <v>#REF!</v>
      </c>
      <c r="D74" s="1" t="e">
        <f t="shared" si="17"/>
        <v>#REF!</v>
      </c>
      <c r="E74" s="38" t="e">
        <f>IF(G74=0,#REF!,G74)</f>
        <v>#REF!</v>
      </c>
      <c r="F74" s="142"/>
      <c r="G74" s="33"/>
      <c r="H74" s="191"/>
      <c r="I74" s="34" t="s">
        <v>89</v>
      </c>
      <c r="J74" s="81"/>
      <c r="K74" s="80"/>
      <c r="L74" s="82"/>
      <c r="M74" s="82"/>
      <c r="N74" s="83"/>
      <c r="O74" s="80"/>
      <c r="P74" s="143">
        <f t="shared" si="19"/>
        <v>0</v>
      </c>
      <c r="Q74" s="174">
        <f>VLOOKUP(P74,[1]A!D:G,3,FALSE)</f>
        <v>0</v>
      </c>
      <c r="R74" s="91" t="s">
        <v>80</v>
      </c>
      <c r="S74" s="93"/>
      <c r="T74" s="92"/>
      <c r="U74" s="92"/>
      <c r="V74" s="94"/>
      <c r="W74" s="93"/>
      <c r="X74" s="92"/>
      <c r="Y74" s="92"/>
      <c r="Z74" s="94"/>
      <c r="AA74" s="93"/>
      <c r="AB74" s="92"/>
      <c r="AC74" s="92"/>
      <c r="AD74" s="94"/>
      <c r="AE74" s="93"/>
      <c r="AF74" s="92"/>
      <c r="AG74" s="92"/>
      <c r="AH74" s="132"/>
      <c r="AI74" s="93"/>
      <c r="AJ74" s="92"/>
      <c r="AK74" s="92"/>
      <c r="AL74" s="132"/>
      <c r="AM74" s="93"/>
      <c r="AN74" s="92"/>
      <c r="AO74" s="92"/>
      <c r="AP74" s="132"/>
      <c r="AQ74" s="93"/>
      <c r="AR74" s="92"/>
      <c r="AS74" s="92"/>
      <c r="AT74" s="132"/>
      <c r="AU74" s="93"/>
      <c r="AV74" s="92"/>
      <c r="AW74" s="92"/>
      <c r="AX74" s="132"/>
      <c r="AY74" s="93"/>
      <c r="AZ74" s="92"/>
      <c r="BA74" s="92"/>
      <c r="BB74" s="132"/>
      <c r="BC74" s="93"/>
      <c r="BD74" s="92"/>
      <c r="BE74" s="92"/>
      <c r="BF74" s="94"/>
      <c r="BG74" s="93"/>
      <c r="BH74" s="92"/>
      <c r="BI74" s="92"/>
      <c r="BJ74" s="94"/>
      <c r="BK74" s="93"/>
      <c r="BL74" s="92"/>
      <c r="BM74" s="92"/>
      <c r="BN74" s="94"/>
      <c r="BO74" s="93"/>
      <c r="BP74" s="92"/>
      <c r="BQ74" s="92"/>
      <c r="BR74" s="94"/>
      <c r="BS74" s="93"/>
      <c r="BT74" s="92"/>
      <c r="BU74" s="92"/>
      <c r="BV74" s="94"/>
    </row>
    <row r="75" spans="2:74" s="175" customFormat="1" ht="19.149999999999999" customHeight="1">
      <c r="E75" s="38"/>
      <c r="G75" s="176"/>
      <c r="H75" s="176"/>
      <c r="I75" s="176"/>
      <c r="J75" s="177"/>
      <c r="K75" s="177"/>
      <c r="L75" s="177"/>
      <c r="M75" s="177"/>
      <c r="N75" s="177"/>
    </row>
    <row r="76" spans="2:74" s="175" customFormat="1" ht="19.149999999999999" customHeight="1">
      <c r="E76" s="38"/>
      <c r="G76" s="176"/>
      <c r="H76" s="176"/>
      <c r="I76" s="176"/>
      <c r="J76" s="177"/>
      <c r="K76" s="177"/>
      <c r="L76" s="177"/>
      <c r="M76" s="177"/>
      <c r="N76" s="177"/>
    </row>
    <row r="77" spans="2:74" s="175" customFormat="1" ht="19.149999999999999" customHeight="1">
      <c r="E77" s="38"/>
      <c r="G77" s="176"/>
      <c r="H77" s="176"/>
      <c r="I77" s="176"/>
      <c r="J77" s="177"/>
      <c r="K77" s="177"/>
      <c r="L77" s="177"/>
      <c r="M77" s="177"/>
      <c r="N77" s="177"/>
    </row>
    <row r="78" spans="2:74" s="175" customFormat="1" ht="15.95">
      <c r="E78" s="38"/>
      <c r="G78" s="176"/>
      <c r="H78" s="176"/>
      <c r="I78" s="176"/>
      <c r="J78" s="177"/>
      <c r="K78" s="177"/>
      <c r="L78" s="177"/>
      <c r="M78" s="177"/>
      <c r="N78" s="177"/>
    </row>
    <row r="79" spans="2:74" s="175" customFormat="1" ht="15.95">
      <c r="E79" s="38"/>
      <c r="G79" s="176"/>
      <c r="H79" s="176"/>
      <c r="I79" s="176"/>
      <c r="J79" s="177"/>
      <c r="K79" s="177"/>
      <c r="L79" s="177"/>
      <c r="M79" s="177"/>
      <c r="N79" s="177"/>
    </row>
    <row r="80" spans="2:74" s="175" customFormat="1" ht="15.95">
      <c r="E80" s="38"/>
      <c r="G80" s="176"/>
      <c r="H80" s="176"/>
      <c r="I80" s="176"/>
      <c r="J80" s="177"/>
      <c r="K80" s="177"/>
      <c r="L80" s="177"/>
      <c r="M80" s="177"/>
      <c r="N80" s="177"/>
    </row>
    <row r="81" spans="5:14" s="175" customFormat="1" ht="15.95">
      <c r="E81" s="38"/>
      <c r="G81" s="176"/>
      <c r="H81" s="176"/>
      <c r="I81" s="176"/>
      <c r="J81" s="177"/>
      <c r="K81" s="177"/>
      <c r="L81" s="177"/>
      <c r="M81" s="177"/>
      <c r="N81" s="177"/>
    </row>
    <row r="82" spans="5:14" s="178" customFormat="1" ht="20.45">
      <c r="E82" s="38"/>
      <c r="G82" s="179"/>
      <c r="H82" s="179"/>
      <c r="I82" s="179"/>
      <c r="J82" s="180"/>
      <c r="K82" s="180"/>
      <c r="L82" s="180"/>
      <c r="M82" s="180"/>
      <c r="N82" s="180"/>
    </row>
    <row r="83" spans="5:14" s="175" customFormat="1" ht="15.95">
      <c r="E83" s="38"/>
      <c r="G83" s="176"/>
      <c r="H83" s="176"/>
      <c r="I83" s="176"/>
      <c r="J83" s="177"/>
      <c r="K83" s="177"/>
      <c r="L83" s="177"/>
      <c r="M83" s="177"/>
      <c r="N83" s="177"/>
    </row>
    <row r="84" spans="5:14" s="175" customFormat="1" ht="15.95">
      <c r="G84" s="176"/>
      <c r="H84" s="176"/>
      <c r="I84" s="176"/>
      <c r="J84" s="177"/>
      <c r="K84" s="177"/>
      <c r="L84" s="177"/>
      <c r="M84" s="177"/>
      <c r="N84" s="177"/>
    </row>
    <row r="85" spans="5:14" s="175" customFormat="1" ht="15.95">
      <c r="J85" s="177"/>
      <c r="K85" s="177"/>
      <c r="L85" s="177"/>
      <c r="M85" s="177"/>
      <c r="N85" s="177"/>
    </row>
    <row r="86" spans="5:14" s="175" customFormat="1" ht="15.95">
      <c r="J86" s="177"/>
      <c r="K86" s="177"/>
      <c r="L86" s="177"/>
      <c r="M86" s="177"/>
      <c r="N86" s="177"/>
    </row>
    <row r="87" spans="5:14" s="175" customFormat="1" ht="15.95">
      <c r="J87" s="177"/>
      <c r="K87" s="177"/>
      <c r="L87" s="177"/>
      <c r="M87" s="177"/>
      <c r="N87" s="177"/>
    </row>
    <row r="88" spans="5:14" s="175" customFormat="1" ht="15.95">
      <c r="J88" s="177"/>
      <c r="K88" s="177"/>
      <c r="L88" s="177"/>
      <c r="M88" s="177"/>
      <c r="N88" s="177"/>
    </row>
    <row r="89" spans="5:14" s="175" customFormat="1" ht="15.95">
      <c r="J89" s="177"/>
      <c r="K89" s="177"/>
      <c r="L89" s="177"/>
      <c r="M89" s="177"/>
      <c r="N89" s="177"/>
    </row>
    <row r="90" spans="5:14" s="175" customFormat="1" ht="15.95">
      <c r="J90" s="177"/>
      <c r="K90" s="177"/>
      <c r="L90" s="177"/>
      <c r="M90" s="177"/>
      <c r="N90" s="177"/>
    </row>
    <row r="91" spans="5:14" s="175" customFormat="1" ht="15.95">
      <c r="J91" s="177"/>
      <c r="K91" s="177"/>
      <c r="L91" s="177"/>
      <c r="M91" s="177"/>
      <c r="N91" s="177"/>
    </row>
    <row r="92" spans="5:14" s="175" customFormat="1" ht="15.95">
      <c r="J92" s="177"/>
      <c r="K92" s="177"/>
      <c r="L92" s="177"/>
      <c r="M92" s="177"/>
      <c r="N92" s="177"/>
    </row>
    <row r="93" spans="5:14" s="175" customFormat="1" ht="15.95">
      <c r="J93" s="177"/>
      <c r="K93" s="177"/>
      <c r="L93" s="177"/>
      <c r="M93" s="177"/>
      <c r="N93" s="177"/>
    </row>
    <row r="94" spans="5:14" s="175" customFormat="1" ht="15.95">
      <c r="J94" s="177"/>
      <c r="K94" s="177"/>
      <c r="L94" s="177"/>
      <c r="M94" s="177"/>
      <c r="N94" s="177"/>
    </row>
    <row r="95" spans="5:14" s="175" customFormat="1" ht="15.95">
      <c r="J95" s="177"/>
      <c r="K95" s="177"/>
      <c r="L95" s="177"/>
      <c r="M95" s="177"/>
      <c r="N95" s="177"/>
    </row>
    <row r="96" spans="5:14" s="181" customFormat="1">
      <c r="G96" s="182"/>
      <c r="H96" s="182"/>
      <c r="I96" s="182"/>
      <c r="J96" s="1"/>
      <c r="K96" s="1"/>
      <c r="L96" s="1"/>
      <c r="M96" s="1"/>
      <c r="N96" s="1"/>
    </row>
    <row r="97" spans="7:74" s="181" customFormat="1">
      <c r="G97" s="182"/>
      <c r="H97" s="182"/>
      <c r="I97" s="182"/>
      <c r="J97" s="1"/>
      <c r="K97" s="1"/>
      <c r="L97" s="1"/>
      <c r="M97" s="1"/>
      <c r="N97" s="1"/>
    </row>
    <row r="98" spans="7:74" s="181" customFormat="1">
      <c r="G98" s="182"/>
      <c r="H98" s="182"/>
      <c r="I98" s="182"/>
      <c r="J98" s="1"/>
      <c r="K98" s="1"/>
      <c r="L98" s="1"/>
      <c r="M98" s="1"/>
      <c r="N98" s="1"/>
    </row>
    <row r="99" spans="7:74" s="181" customFormat="1">
      <c r="G99" s="182"/>
      <c r="H99" s="182"/>
      <c r="I99" s="182"/>
      <c r="J99" s="1"/>
      <c r="K99" s="1"/>
      <c r="L99" s="1"/>
      <c r="M99" s="1"/>
      <c r="N99" s="1"/>
    </row>
    <row r="100" spans="7:74" s="13" customFormat="1" ht="15.95">
      <c r="G100" s="184"/>
      <c r="H100" s="184"/>
      <c r="I100" s="184"/>
      <c r="J100" s="12"/>
      <c r="K100" s="12"/>
      <c r="L100" s="12"/>
      <c r="M100" s="12"/>
      <c r="N100" s="12"/>
      <c r="V100" s="183"/>
      <c r="Z100" s="183"/>
      <c r="AD100" s="183"/>
      <c r="AH100" s="183"/>
      <c r="AL100" s="183"/>
      <c r="AP100" s="183"/>
      <c r="AT100" s="183"/>
      <c r="AX100" s="183"/>
      <c r="BB100" s="183"/>
      <c r="BF100" s="183"/>
      <c r="BJ100" s="183"/>
      <c r="BN100" s="183"/>
      <c r="BR100" s="183"/>
      <c r="BV100" s="183"/>
    </row>
    <row r="101" spans="7:74" s="176" customFormat="1" ht="15.95">
      <c r="J101" s="185"/>
      <c r="K101" s="185"/>
      <c r="L101" s="185"/>
      <c r="M101" s="185"/>
      <c r="N101" s="185"/>
    </row>
    <row r="102" spans="7:74" s="182" customFormat="1">
      <c r="J102" s="10"/>
      <c r="K102" s="10"/>
      <c r="L102" s="10"/>
      <c r="M102" s="10"/>
      <c r="N102" s="10"/>
    </row>
    <row r="103" spans="7:74" s="182" customFormat="1">
      <c r="J103" s="10"/>
      <c r="K103" s="10"/>
      <c r="L103" s="10"/>
      <c r="M103" s="10"/>
      <c r="N103" s="10"/>
    </row>
    <row r="104" spans="7:74" s="182" customFormat="1">
      <c r="J104" s="10"/>
      <c r="K104" s="10"/>
      <c r="L104" s="10"/>
      <c r="M104" s="10"/>
      <c r="N104" s="10"/>
    </row>
    <row r="105" spans="7:74" s="182" customFormat="1">
      <c r="J105" s="10"/>
      <c r="K105" s="10"/>
      <c r="L105" s="10"/>
      <c r="M105" s="10"/>
      <c r="N105" s="10"/>
    </row>
    <row r="106" spans="7:74" s="182" customFormat="1">
      <c r="J106" s="10"/>
      <c r="K106" s="10"/>
      <c r="L106" s="10"/>
      <c r="M106" s="10"/>
      <c r="N106" s="10"/>
    </row>
    <row r="107" spans="7:74" s="182" customFormat="1">
      <c r="J107" s="10"/>
      <c r="K107" s="10"/>
      <c r="L107" s="10"/>
      <c r="M107" s="10"/>
      <c r="N107" s="10"/>
    </row>
    <row r="108" spans="7:74" s="182" customFormat="1">
      <c r="J108" s="10"/>
      <c r="K108" s="10"/>
      <c r="L108" s="10"/>
      <c r="M108" s="10"/>
      <c r="N108" s="10"/>
    </row>
    <row r="109" spans="7:74" s="181" customFormat="1">
      <c r="G109" s="182"/>
      <c r="H109" s="182"/>
      <c r="I109" s="182"/>
      <c r="J109" s="1"/>
      <c r="K109" s="1"/>
      <c r="L109" s="1"/>
      <c r="M109" s="1"/>
      <c r="N109" s="1"/>
    </row>
    <row r="110" spans="7:74" s="181" customFormat="1">
      <c r="G110" s="182"/>
      <c r="H110" s="182"/>
      <c r="I110" s="182"/>
      <c r="J110" s="1"/>
      <c r="K110" s="1"/>
      <c r="L110" s="1"/>
      <c r="M110" s="1"/>
      <c r="N110" s="1"/>
    </row>
    <row r="111" spans="7:74" s="181" customFormat="1">
      <c r="G111" s="182"/>
      <c r="H111" s="182"/>
      <c r="I111" s="182"/>
      <c r="J111" s="1"/>
      <c r="K111" s="1"/>
      <c r="L111" s="1"/>
      <c r="M111" s="1"/>
      <c r="N111" s="1"/>
    </row>
    <row r="112" spans="7:74" s="181" customFormat="1">
      <c r="G112" s="182"/>
      <c r="H112" s="182"/>
      <c r="I112" s="182"/>
      <c r="J112" s="1"/>
      <c r="K112" s="1"/>
      <c r="L112" s="1"/>
      <c r="M112" s="1"/>
      <c r="N112" s="1"/>
    </row>
    <row r="113" spans="7:14" s="181" customFormat="1">
      <c r="G113" s="182"/>
      <c r="H113" s="182"/>
      <c r="I113" s="182"/>
      <c r="J113" s="1"/>
      <c r="K113" s="1"/>
      <c r="L113" s="1"/>
      <c r="M113" s="1"/>
      <c r="N113" s="1"/>
    </row>
    <row r="114" spans="7:14" s="181" customFormat="1">
      <c r="G114" s="182"/>
      <c r="H114" s="182"/>
      <c r="I114" s="182"/>
      <c r="J114" s="1"/>
      <c r="K114" s="1"/>
      <c r="L114" s="1"/>
      <c r="M114" s="1"/>
      <c r="N114" s="1"/>
    </row>
    <row r="115" spans="7:14" s="181" customFormat="1">
      <c r="G115" s="182"/>
      <c r="H115" s="182"/>
      <c r="I115" s="182"/>
      <c r="J115" s="1"/>
      <c r="K115" s="1"/>
      <c r="L115" s="1"/>
      <c r="M115" s="1"/>
      <c r="N115" s="1"/>
    </row>
    <row r="116" spans="7:14" s="181" customFormat="1">
      <c r="G116" s="182"/>
      <c r="H116" s="182"/>
      <c r="I116" s="182"/>
      <c r="J116" s="1"/>
      <c r="K116" s="1"/>
      <c r="L116" s="1"/>
      <c r="M116" s="1"/>
      <c r="N116" s="1"/>
    </row>
    <row r="117" spans="7:14" s="181" customFormat="1">
      <c r="G117" s="182"/>
      <c r="H117" s="182"/>
      <c r="I117" s="182"/>
      <c r="J117" s="1"/>
      <c r="K117" s="1"/>
      <c r="L117" s="1"/>
      <c r="M117" s="1"/>
      <c r="N117" s="1"/>
    </row>
    <row r="118" spans="7:14" s="181" customFormat="1">
      <c r="G118" s="182"/>
      <c r="H118" s="182"/>
      <c r="I118" s="182"/>
      <c r="J118" s="1"/>
      <c r="K118" s="1"/>
      <c r="L118" s="1"/>
      <c r="M118" s="1"/>
      <c r="N118" s="1"/>
    </row>
    <row r="119" spans="7:14" s="181" customFormat="1">
      <c r="G119" s="182"/>
      <c r="H119" s="182"/>
      <c r="I119" s="182"/>
      <c r="J119" s="1"/>
      <c r="K119" s="1"/>
      <c r="L119" s="1"/>
      <c r="M119" s="1"/>
      <c r="N119" s="1"/>
    </row>
    <row r="120" spans="7:14" s="181" customFormat="1">
      <c r="G120" s="182"/>
      <c r="H120" s="182"/>
      <c r="I120" s="182"/>
      <c r="J120" s="1"/>
      <c r="K120" s="1"/>
      <c r="L120" s="1"/>
      <c r="M120" s="1"/>
      <c r="N120" s="1"/>
    </row>
    <row r="121" spans="7:14" s="181" customFormat="1">
      <c r="G121" s="182"/>
      <c r="H121" s="182"/>
      <c r="I121" s="182"/>
      <c r="J121" s="1"/>
      <c r="K121" s="1"/>
      <c r="L121" s="1"/>
      <c r="M121" s="1"/>
      <c r="N121" s="1"/>
    </row>
    <row r="122" spans="7:14" s="181" customFormat="1">
      <c r="G122" s="182"/>
      <c r="H122" s="182"/>
      <c r="I122" s="182"/>
      <c r="J122" s="1"/>
      <c r="K122" s="1"/>
      <c r="L122" s="1"/>
      <c r="M122" s="1"/>
      <c r="N122" s="1"/>
    </row>
    <row r="123" spans="7:14" s="181" customFormat="1">
      <c r="G123" s="182"/>
      <c r="H123" s="182"/>
      <c r="I123" s="182"/>
      <c r="J123" s="1"/>
      <c r="K123" s="1"/>
      <c r="L123" s="1"/>
      <c r="M123" s="1"/>
      <c r="N123" s="1"/>
    </row>
    <row r="124" spans="7:14" s="181" customFormat="1">
      <c r="G124" s="182"/>
      <c r="H124" s="182"/>
      <c r="I124" s="182"/>
      <c r="J124" s="1"/>
      <c r="K124" s="1"/>
      <c r="L124" s="1"/>
      <c r="M124" s="1"/>
      <c r="N124" s="1"/>
    </row>
    <row r="125" spans="7:14" s="181" customFormat="1">
      <c r="G125" s="182"/>
      <c r="H125" s="182"/>
      <c r="I125" s="182"/>
      <c r="J125" s="1"/>
      <c r="K125" s="1"/>
      <c r="L125" s="1"/>
      <c r="M125" s="1"/>
      <c r="N125" s="1"/>
    </row>
    <row r="126" spans="7:14" s="181" customFormat="1">
      <c r="G126" s="182"/>
      <c r="H126" s="182"/>
      <c r="I126" s="182"/>
      <c r="J126" s="1"/>
      <c r="K126" s="1"/>
      <c r="L126" s="1"/>
      <c r="M126" s="1"/>
      <c r="N126" s="1"/>
    </row>
    <row r="127" spans="7:14" s="181" customFormat="1">
      <c r="G127" s="182"/>
      <c r="H127" s="182"/>
      <c r="I127" s="182"/>
      <c r="J127" s="1"/>
      <c r="K127" s="1"/>
      <c r="L127" s="1"/>
      <c r="M127" s="1"/>
      <c r="N127" s="1"/>
    </row>
    <row r="128" spans="7:14" s="181" customFormat="1">
      <c r="G128" s="182"/>
      <c r="H128" s="182"/>
      <c r="I128" s="182"/>
      <c r="J128" s="1"/>
      <c r="K128" s="1"/>
      <c r="L128" s="1"/>
      <c r="M128" s="1"/>
      <c r="N128" s="1"/>
    </row>
    <row r="129" spans="7:14" s="181" customFormat="1">
      <c r="G129" s="182"/>
      <c r="H129" s="182"/>
      <c r="I129" s="182"/>
      <c r="J129" s="1"/>
      <c r="K129" s="1"/>
      <c r="L129" s="1"/>
      <c r="M129" s="1"/>
      <c r="N129" s="1"/>
    </row>
    <row r="130" spans="7:14" s="181" customFormat="1">
      <c r="G130" s="182"/>
      <c r="H130" s="182"/>
      <c r="I130" s="182"/>
      <c r="J130" s="1"/>
      <c r="K130" s="1"/>
      <c r="L130" s="1"/>
      <c r="M130" s="1"/>
      <c r="N130" s="1"/>
    </row>
    <row r="131" spans="7:14" s="181" customFormat="1">
      <c r="G131" s="182"/>
      <c r="H131" s="182"/>
      <c r="I131" s="182"/>
      <c r="J131" s="1"/>
      <c r="K131" s="1"/>
      <c r="L131" s="1"/>
      <c r="M131" s="1"/>
      <c r="N131" s="1"/>
    </row>
    <row r="132" spans="7:14" s="181" customFormat="1">
      <c r="G132" s="182"/>
      <c r="H132" s="182"/>
      <c r="I132" s="182"/>
      <c r="J132" s="1"/>
      <c r="K132" s="1"/>
      <c r="L132" s="1"/>
      <c r="M132" s="1"/>
      <c r="N132" s="1"/>
    </row>
    <row r="133" spans="7:14" s="181" customFormat="1">
      <c r="G133" s="182"/>
      <c r="H133" s="182"/>
      <c r="I133" s="182"/>
      <c r="J133" s="1"/>
      <c r="K133" s="1"/>
      <c r="L133" s="1"/>
      <c r="M133" s="1"/>
      <c r="N133" s="1"/>
    </row>
    <row r="134" spans="7:14" s="181" customFormat="1">
      <c r="G134" s="182"/>
      <c r="H134" s="182"/>
      <c r="I134" s="182"/>
      <c r="J134" s="1"/>
      <c r="K134" s="1"/>
      <c r="L134" s="1"/>
      <c r="M134" s="1"/>
      <c r="N134" s="1"/>
    </row>
    <row r="135" spans="7:14" s="181" customFormat="1">
      <c r="G135" s="182"/>
      <c r="H135" s="182"/>
      <c r="I135" s="182"/>
      <c r="J135" s="1"/>
      <c r="K135" s="1"/>
      <c r="L135" s="1"/>
      <c r="M135" s="1"/>
      <c r="N135" s="1"/>
    </row>
    <row r="136" spans="7:14" s="181" customFormat="1">
      <c r="G136" s="182"/>
      <c r="H136" s="182"/>
      <c r="I136" s="182"/>
      <c r="J136" s="1"/>
      <c r="K136" s="1"/>
      <c r="L136" s="1"/>
      <c r="M136" s="1"/>
      <c r="N136" s="1"/>
    </row>
    <row r="137" spans="7:14" s="181" customFormat="1">
      <c r="G137" s="182"/>
      <c r="H137" s="182"/>
      <c r="I137" s="182"/>
      <c r="J137" s="1"/>
      <c r="K137" s="1"/>
      <c r="L137" s="1"/>
      <c r="M137" s="1"/>
      <c r="N137" s="1"/>
    </row>
    <row r="138" spans="7:14" s="181" customFormat="1">
      <c r="G138" s="182"/>
      <c r="H138" s="182"/>
      <c r="I138" s="182"/>
      <c r="J138" s="1"/>
      <c r="K138" s="1"/>
      <c r="L138" s="1"/>
      <c r="M138" s="1"/>
      <c r="N138" s="1"/>
    </row>
    <row r="139" spans="7:14" s="181" customFormat="1">
      <c r="G139" s="182"/>
      <c r="H139" s="182"/>
      <c r="I139" s="182"/>
      <c r="J139" s="1"/>
      <c r="K139" s="1"/>
      <c r="L139" s="1"/>
      <c r="M139" s="1"/>
      <c r="N139" s="1"/>
    </row>
    <row r="140" spans="7:14" s="181" customFormat="1">
      <c r="G140" s="182"/>
      <c r="H140" s="182"/>
      <c r="I140" s="182"/>
      <c r="J140" s="1"/>
      <c r="K140" s="1"/>
      <c r="L140" s="1"/>
      <c r="M140" s="1"/>
      <c r="N140" s="1"/>
    </row>
    <row r="141" spans="7:14" s="181" customFormat="1">
      <c r="G141" s="182"/>
      <c r="H141" s="182"/>
      <c r="I141" s="182"/>
      <c r="J141" s="1"/>
      <c r="K141" s="1"/>
      <c r="L141" s="1"/>
      <c r="M141" s="1"/>
      <c r="N141" s="1"/>
    </row>
    <row r="142" spans="7:14" s="181" customFormat="1">
      <c r="G142" s="182"/>
      <c r="H142" s="182"/>
      <c r="I142" s="182"/>
      <c r="J142" s="1"/>
      <c r="K142" s="1"/>
      <c r="L142" s="1"/>
      <c r="M142" s="1"/>
      <c r="N142" s="1"/>
    </row>
    <row r="143" spans="7:14" s="181" customFormat="1">
      <c r="G143" s="182"/>
      <c r="H143" s="182"/>
      <c r="I143" s="182"/>
      <c r="J143" s="1"/>
      <c r="K143" s="1"/>
      <c r="L143" s="1"/>
      <c r="M143" s="1"/>
      <c r="N143" s="1"/>
    </row>
    <row r="144" spans="7:14" s="181" customFormat="1">
      <c r="G144" s="182"/>
      <c r="H144" s="182"/>
      <c r="I144" s="182"/>
      <c r="J144" s="1"/>
      <c r="K144" s="1"/>
      <c r="L144" s="1"/>
      <c r="M144" s="1"/>
      <c r="N144" s="1"/>
    </row>
    <row r="145" spans="7:14" s="181" customFormat="1">
      <c r="G145" s="182"/>
      <c r="H145" s="182"/>
      <c r="I145" s="182"/>
      <c r="J145" s="1"/>
      <c r="K145" s="1"/>
      <c r="L145" s="1"/>
      <c r="M145" s="1"/>
      <c r="N145" s="1"/>
    </row>
    <row r="146" spans="7:14" s="181" customFormat="1">
      <c r="G146" s="182"/>
      <c r="H146" s="182"/>
      <c r="I146" s="182"/>
      <c r="J146" s="1"/>
      <c r="K146" s="1"/>
      <c r="L146" s="1"/>
      <c r="M146" s="1"/>
      <c r="N146" s="1"/>
    </row>
    <row r="147" spans="7:14" s="181" customFormat="1">
      <c r="G147" s="182"/>
      <c r="H147" s="182"/>
      <c r="I147" s="182"/>
      <c r="J147" s="1"/>
      <c r="K147" s="1"/>
      <c r="L147" s="1"/>
      <c r="M147" s="1"/>
      <c r="N147" s="1"/>
    </row>
    <row r="148" spans="7:14" s="181" customFormat="1">
      <c r="G148" s="182"/>
      <c r="H148" s="182"/>
      <c r="I148" s="182"/>
      <c r="J148" s="1"/>
      <c r="K148" s="1"/>
      <c r="L148" s="1"/>
      <c r="M148" s="1"/>
      <c r="N148" s="1"/>
    </row>
    <row r="149" spans="7:14" s="181" customFormat="1">
      <c r="G149" s="182"/>
      <c r="H149" s="182"/>
      <c r="I149" s="182"/>
      <c r="J149" s="1"/>
      <c r="K149" s="1"/>
      <c r="L149" s="1"/>
      <c r="M149" s="1"/>
      <c r="N149" s="1"/>
    </row>
    <row r="150" spans="7:14" s="181" customFormat="1">
      <c r="G150" s="182"/>
      <c r="H150" s="182"/>
      <c r="I150" s="182"/>
      <c r="J150" s="1"/>
      <c r="K150" s="1"/>
      <c r="L150" s="1"/>
      <c r="M150" s="1"/>
      <c r="N150" s="1"/>
    </row>
    <row r="151" spans="7:14" s="181" customFormat="1">
      <c r="G151" s="182"/>
      <c r="H151" s="182"/>
      <c r="I151" s="182"/>
      <c r="J151" s="1"/>
      <c r="K151" s="1"/>
      <c r="L151" s="1"/>
      <c r="M151" s="1"/>
      <c r="N151" s="1"/>
    </row>
    <row r="152" spans="7:14" s="181" customFormat="1">
      <c r="G152" s="182"/>
      <c r="H152" s="182"/>
      <c r="I152" s="182"/>
      <c r="J152" s="1"/>
      <c r="K152" s="1"/>
      <c r="L152" s="1"/>
      <c r="M152" s="1"/>
      <c r="N152" s="1"/>
    </row>
    <row r="153" spans="7:14" s="181" customFormat="1">
      <c r="G153" s="182"/>
      <c r="H153" s="182"/>
      <c r="I153" s="182"/>
      <c r="J153" s="1"/>
      <c r="K153" s="1"/>
      <c r="L153" s="1"/>
      <c r="M153" s="1"/>
      <c r="N153" s="1"/>
    </row>
    <row r="154" spans="7:14" s="181" customFormat="1">
      <c r="G154" s="182"/>
      <c r="H154" s="182"/>
      <c r="I154" s="182"/>
      <c r="J154" s="1"/>
      <c r="K154" s="1"/>
      <c r="L154" s="1"/>
      <c r="M154" s="1"/>
      <c r="N154" s="1"/>
    </row>
    <row r="155" spans="7:14" s="181" customFormat="1">
      <c r="G155" s="182"/>
      <c r="H155" s="182"/>
      <c r="I155" s="182"/>
      <c r="J155" s="1"/>
      <c r="K155" s="1"/>
      <c r="L155" s="1"/>
      <c r="M155" s="1"/>
      <c r="N155" s="1"/>
    </row>
    <row r="156" spans="7:14" s="181" customFormat="1">
      <c r="G156" s="182"/>
      <c r="H156" s="182"/>
      <c r="I156" s="182"/>
      <c r="J156" s="1"/>
      <c r="K156" s="1"/>
      <c r="L156" s="1"/>
      <c r="M156" s="1"/>
      <c r="N156" s="1"/>
    </row>
    <row r="157" spans="7:14" s="181" customFormat="1">
      <c r="G157" s="182"/>
      <c r="H157" s="182"/>
      <c r="I157" s="182"/>
      <c r="J157" s="1"/>
      <c r="K157" s="1"/>
      <c r="L157" s="1"/>
      <c r="M157" s="1"/>
      <c r="N157" s="1"/>
    </row>
    <row r="158" spans="7:14" s="181" customFormat="1">
      <c r="G158" s="182"/>
      <c r="H158" s="182"/>
      <c r="I158" s="182"/>
      <c r="J158" s="1"/>
      <c r="K158" s="1"/>
      <c r="L158" s="1"/>
      <c r="M158" s="1"/>
      <c r="N158" s="1"/>
    </row>
    <row r="159" spans="7:14" s="181" customFormat="1">
      <c r="G159" s="182"/>
      <c r="H159" s="182"/>
      <c r="I159" s="182"/>
      <c r="J159" s="1"/>
      <c r="K159" s="1"/>
      <c r="L159" s="1"/>
      <c r="M159" s="1"/>
      <c r="N159" s="1"/>
    </row>
    <row r="160" spans="7:14" s="181" customFormat="1">
      <c r="G160" s="182"/>
      <c r="H160" s="182"/>
      <c r="I160" s="182"/>
      <c r="J160" s="1"/>
      <c r="K160" s="1"/>
      <c r="L160" s="1"/>
      <c r="M160" s="1"/>
      <c r="N160" s="1"/>
    </row>
    <row r="161" spans="7:14" s="181" customFormat="1">
      <c r="G161" s="182"/>
      <c r="H161" s="182"/>
      <c r="I161" s="182"/>
      <c r="J161" s="1"/>
      <c r="K161" s="1"/>
      <c r="L161" s="1"/>
      <c r="M161" s="1"/>
      <c r="N161" s="1"/>
    </row>
    <row r="162" spans="7:14" s="181" customFormat="1">
      <c r="G162" s="182"/>
      <c r="H162" s="182"/>
      <c r="I162" s="182"/>
      <c r="J162" s="1"/>
      <c r="K162" s="1"/>
      <c r="L162" s="1"/>
      <c r="M162" s="1"/>
      <c r="N162" s="1"/>
    </row>
    <row r="163" spans="7:14" s="181" customFormat="1">
      <c r="G163" s="182"/>
      <c r="H163" s="182"/>
      <c r="I163" s="182"/>
      <c r="J163" s="1"/>
      <c r="K163" s="1"/>
      <c r="L163" s="1"/>
      <c r="M163" s="1"/>
      <c r="N163" s="1"/>
    </row>
    <row r="164" spans="7:14" s="181" customFormat="1">
      <c r="G164" s="182"/>
      <c r="H164" s="182"/>
      <c r="I164" s="182"/>
      <c r="J164" s="1"/>
      <c r="K164" s="1"/>
      <c r="L164" s="1"/>
      <c r="M164" s="1"/>
      <c r="N164" s="1"/>
    </row>
    <row r="165" spans="7:14" s="181" customFormat="1">
      <c r="G165" s="182"/>
      <c r="H165" s="182"/>
      <c r="I165" s="182"/>
      <c r="J165" s="1"/>
      <c r="K165" s="1"/>
      <c r="L165" s="1"/>
      <c r="M165" s="1"/>
      <c r="N165" s="1"/>
    </row>
    <row r="166" spans="7:14" s="181" customFormat="1">
      <c r="G166" s="182"/>
      <c r="H166" s="182"/>
      <c r="I166" s="182"/>
      <c r="J166" s="1"/>
      <c r="K166" s="1"/>
      <c r="L166" s="1"/>
      <c r="M166" s="1"/>
      <c r="N166" s="1"/>
    </row>
    <row r="167" spans="7:14" s="181" customFormat="1">
      <c r="G167" s="182"/>
      <c r="H167" s="182"/>
      <c r="I167" s="182"/>
      <c r="J167" s="1"/>
      <c r="K167" s="1"/>
      <c r="L167" s="1"/>
      <c r="M167" s="1"/>
      <c r="N167" s="1"/>
    </row>
    <row r="168" spans="7:14" s="181" customFormat="1">
      <c r="G168" s="182"/>
      <c r="H168" s="182"/>
      <c r="I168" s="182"/>
      <c r="J168" s="1"/>
      <c r="K168" s="1"/>
      <c r="L168" s="1"/>
      <c r="M168" s="1"/>
      <c r="N168" s="1"/>
    </row>
    <row r="169" spans="7:14" s="181" customFormat="1">
      <c r="G169" s="182"/>
      <c r="H169" s="182"/>
      <c r="I169" s="182"/>
      <c r="J169" s="1"/>
      <c r="K169" s="1"/>
      <c r="L169" s="1"/>
      <c r="M169" s="1"/>
      <c r="N169" s="1"/>
    </row>
    <row r="170" spans="7:14" s="181" customFormat="1">
      <c r="G170" s="182"/>
      <c r="H170" s="182"/>
      <c r="I170" s="182"/>
      <c r="J170" s="1"/>
      <c r="K170" s="1"/>
      <c r="L170" s="1"/>
      <c r="M170" s="1"/>
      <c r="N170" s="1"/>
    </row>
    <row r="171" spans="7:14" s="181" customFormat="1">
      <c r="G171" s="182"/>
      <c r="H171" s="182"/>
      <c r="I171" s="182"/>
      <c r="J171" s="1"/>
      <c r="K171" s="1"/>
      <c r="L171" s="1"/>
      <c r="M171" s="1"/>
      <c r="N171" s="1"/>
    </row>
    <row r="172" spans="7:14" s="181" customFormat="1">
      <c r="G172" s="182"/>
      <c r="H172" s="182"/>
      <c r="I172" s="182"/>
      <c r="J172" s="1"/>
      <c r="K172" s="1"/>
      <c r="L172" s="1"/>
      <c r="M172" s="1"/>
      <c r="N172" s="1"/>
    </row>
    <row r="173" spans="7:14" s="181" customFormat="1">
      <c r="G173" s="182"/>
      <c r="H173" s="182"/>
      <c r="I173" s="182"/>
      <c r="J173" s="1"/>
      <c r="K173" s="1"/>
      <c r="L173" s="1"/>
      <c r="M173" s="1"/>
      <c r="N173" s="1"/>
    </row>
    <row r="174" spans="7:14" s="181" customFormat="1">
      <c r="G174" s="182"/>
      <c r="H174" s="182"/>
      <c r="I174" s="182"/>
      <c r="J174" s="1"/>
      <c r="K174" s="1"/>
      <c r="L174" s="1"/>
      <c r="M174" s="1"/>
      <c r="N174" s="1"/>
    </row>
    <row r="175" spans="7:14" s="181" customFormat="1">
      <c r="G175" s="182"/>
      <c r="H175" s="182"/>
      <c r="I175" s="182"/>
      <c r="J175" s="1"/>
      <c r="K175" s="1"/>
      <c r="L175" s="1"/>
      <c r="M175" s="1"/>
      <c r="N175" s="1"/>
    </row>
    <row r="176" spans="7:14" s="181" customFormat="1">
      <c r="G176" s="182"/>
      <c r="H176" s="182"/>
      <c r="I176" s="182"/>
      <c r="J176" s="1"/>
      <c r="K176" s="1"/>
      <c r="L176" s="1"/>
      <c r="M176" s="1"/>
      <c r="N176" s="1"/>
    </row>
    <row r="177" spans="7:14" s="181" customFormat="1">
      <c r="G177" s="182"/>
      <c r="H177" s="182"/>
      <c r="I177" s="182"/>
      <c r="J177" s="1"/>
      <c r="K177" s="1"/>
      <c r="L177" s="1"/>
      <c r="M177" s="1"/>
      <c r="N177" s="1"/>
    </row>
    <row r="178" spans="7:14" s="181" customFormat="1">
      <c r="G178" s="182"/>
      <c r="H178" s="182"/>
      <c r="I178" s="182"/>
      <c r="J178" s="1"/>
      <c r="K178" s="1"/>
      <c r="L178" s="1"/>
      <c r="M178" s="1"/>
      <c r="N178" s="1"/>
    </row>
    <row r="179" spans="7:14" s="181" customFormat="1">
      <c r="G179" s="182"/>
      <c r="H179" s="182"/>
      <c r="I179" s="182"/>
      <c r="J179" s="1"/>
      <c r="K179" s="1"/>
      <c r="L179" s="1"/>
      <c r="M179" s="1"/>
      <c r="N179" s="1"/>
    </row>
    <row r="180" spans="7:14" s="181" customFormat="1">
      <c r="G180" s="182"/>
      <c r="H180" s="182"/>
      <c r="I180" s="182"/>
      <c r="J180" s="1"/>
      <c r="K180" s="1"/>
      <c r="L180" s="1"/>
      <c r="M180" s="1"/>
      <c r="N180" s="1"/>
    </row>
    <row r="181" spans="7:14" s="181" customFormat="1">
      <c r="G181" s="182"/>
      <c r="H181" s="182"/>
      <c r="I181" s="182"/>
      <c r="J181" s="1"/>
      <c r="K181" s="1"/>
      <c r="L181" s="1"/>
      <c r="M181" s="1"/>
      <c r="N181" s="1"/>
    </row>
    <row r="182" spans="7:14" s="181" customFormat="1">
      <c r="G182" s="182"/>
      <c r="H182" s="182"/>
      <c r="I182" s="182"/>
      <c r="J182" s="1"/>
      <c r="K182" s="1"/>
      <c r="L182" s="1"/>
      <c r="M182" s="1"/>
      <c r="N182" s="1"/>
    </row>
    <row r="183" spans="7:14" s="181" customFormat="1">
      <c r="G183" s="182"/>
      <c r="H183" s="182"/>
      <c r="I183" s="182"/>
      <c r="J183" s="1"/>
      <c r="K183" s="1"/>
      <c r="L183" s="1"/>
      <c r="M183" s="1"/>
      <c r="N183" s="1"/>
    </row>
    <row r="184" spans="7:14" s="181" customFormat="1">
      <c r="G184" s="182"/>
      <c r="H184" s="182"/>
      <c r="I184" s="182"/>
      <c r="J184" s="1"/>
      <c r="K184" s="1"/>
      <c r="L184" s="1"/>
      <c r="M184" s="1"/>
      <c r="N184" s="1"/>
    </row>
    <row r="185" spans="7:14" s="181" customFormat="1">
      <c r="G185" s="182"/>
      <c r="H185" s="182"/>
      <c r="I185" s="182"/>
      <c r="J185" s="1"/>
      <c r="K185" s="1"/>
      <c r="L185" s="1"/>
      <c r="M185" s="1"/>
      <c r="N185" s="1"/>
    </row>
    <row r="186" spans="7:14" s="181" customFormat="1">
      <c r="G186" s="182"/>
      <c r="H186" s="182"/>
      <c r="I186" s="182"/>
      <c r="J186" s="1"/>
      <c r="K186" s="1"/>
      <c r="L186" s="1"/>
      <c r="M186" s="1"/>
      <c r="N186" s="1"/>
    </row>
    <row r="187" spans="7:14" s="181" customFormat="1">
      <c r="G187" s="182"/>
      <c r="H187" s="182"/>
      <c r="I187" s="182"/>
      <c r="J187" s="1"/>
      <c r="K187" s="1"/>
      <c r="L187" s="1"/>
      <c r="M187" s="1"/>
      <c r="N187" s="1"/>
    </row>
    <row r="188" spans="7:14" s="181" customFormat="1">
      <c r="G188" s="182"/>
      <c r="H188" s="182"/>
      <c r="I188" s="182"/>
      <c r="J188" s="1"/>
      <c r="K188" s="1"/>
      <c r="L188" s="1"/>
      <c r="M188" s="1"/>
      <c r="N188" s="1"/>
    </row>
    <row r="189" spans="7:14" s="181" customFormat="1">
      <c r="G189" s="182"/>
      <c r="H189" s="182"/>
      <c r="I189" s="182"/>
      <c r="J189" s="1"/>
      <c r="K189" s="1"/>
      <c r="L189" s="1"/>
      <c r="M189" s="1"/>
      <c r="N189" s="1"/>
    </row>
    <row r="190" spans="7:14" s="181" customFormat="1">
      <c r="G190" s="182"/>
      <c r="H190" s="182"/>
      <c r="I190" s="182"/>
      <c r="J190" s="1"/>
      <c r="K190" s="1"/>
      <c r="L190" s="1"/>
      <c r="M190" s="1"/>
      <c r="N190" s="1"/>
    </row>
    <row r="191" spans="7:14" s="181" customFormat="1">
      <c r="G191" s="182"/>
      <c r="H191" s="182"/>
      <c r="I191" s="182"/>
      <c r="J191" s="1"/>
      <c r="K191" s="1"/>
      <c r="L191" s="1"/>
      <c r="M191" s="1"/>
      <c r="N191" s="1"/>
    </row>
    <row r="192" spans="7:14" s="181" customFormat="1">
      <c r="G192" s="182"/>
      <c r="H192" s="182"/>
      <c r="I192" s="182"/>
      <c r="J192" s="1"/>
      <c r="K192" s="1"/>
      <c r="L192" s="1"/>
      <c r="M192" s="1"/>
      <c r="N192" s="1"/>
    </row>
    <row r="193" spans="7:14" s="181" customFormat="1">
      <c r="G193" s="182"/>
      <c r="H193" s="182"/>
      <c r="I193" s="182"/>
      <c r="J193" s="1"/>
      <c r="K193" s="1"/>
      <c r="L193" s="1"/>
      <c r="M193" s="1"/>
      <c r="N193" s="1"/>
    </row>
    <row r="194" spans="7:14" s="181" customFormat="1">
      <c r="G194" s="182"/>
      <c r="H194" s="182"/>
      <c r="I194" s="182"/>
      <c r="J194" s="1"/>
      <c r="K194" s="1"/>
      <c r="L194" s="1"/>
      <c r="M194" s="1"/>
      <c r="N194" s="1"/>
    </row>
    <row r="195" spans="7:14" s="181" customFormat="1">
      <c r="G195" s="182"/>
      <c r="H195" s="182"/>
      <c r="I195" s="182"/>
      <c r="J195" s="1"/>
      <c r="K195" s="1"/>
      <c r="L195" s="1"/>
      <c r="M195" s="1"/>
      <c r="N195" s="1"/>
    </row>
    <row r="196" spans="7:14" s="181" customFormat="1">
      <c r="G196" s="182"/>
      <c r="H196" s="182"/>
      <c r="I196" s="182"/>
      <c r="J196" s="1"/>
      <c r="K196" s="1"/>
      <c r="L196" s="1"/>
      <c r="M196" s="1"/>
      <c r="N196" s="1"/>
    </row>
    <row r="197" spans="7:14" s="181" customFormat="1">
      <c r="G197" s="182"/>
      <c r="H197" s="182"/>
      <c r="I197" s="182"/>
      <c r="J197" s="1"/>
      <c r="K197" s="1"/>
      <c r="L197" s="1"/>
      <c r="M197" s="1"/>
      <c r="N197" s="1"/>
    </row>
    <row r="198" spans="7:14" s="181" customFormat="1">
      <c r="G198" s="182"/>
      <c r="H198" s="182"/>
      <c r="I198" s="182"/>
      <c r="J198" s="1"/>
      <c r="K198" s="1"/>
      <c r="L198" s="1"/>
      <c r="M198" s="1"/>
      <c r="N198" s="1"/>
    </row>
    <row r="199" spans="7:14" s="181" customFormat="1">
      <c r="G199" s="182"/>
      <c r="H199" s="182"/>
      <c r="I199" s="182"/>
      <c r="J199" s="1"/>
      <c r="K199" s="1"/>
      <c r="L199" s="1"/>
      <c r="M199" s="1"/>
      <c r="N199" s="1"/>
    </row>
    <row r="200" spans="7:14" s="181" customFormat="1">
      <c r="G200" s="182"/>
      <c r="H200" s="182"/>
      <c r="I200" s="182"/>
      <c r="J200" s="1"/>
      <c r="K200" s="1"/>
      <c r="L200" s="1"/>
      <c r="M200" s="1"/>
      <c r="N200" s="1"/>
    </row>
    <row r="201" spans="7:14" s="181" customFormat="1">
      <c r="G201" s="182"/>
      <c r="H201" s="182"/>
      <c r="I201" s="182"/>
      <c r="J201" s="1"/>
      <c r="K201" s="1"/>
      <c r="L201" s="1"/>
      <c r="M201" s="1"/>
      <c r="N201" s="1"/>
    </row>
    <row r="202" spans="7:14" s="181" customFormat="1">
      <c r="G202" s="182"/>
      <c r="H202" s="182"/>
      <c r="I202" s="182"/>
      <c r="J202" s="1"/>
      <c r="K202" s="1"/>
      <c r="L202" s="1"/>
      <c r="M202" s="1"/>
      <c r="N202" s="1"/>
    </row>
    <row r="203" spans="7:14" s="181" customFormat="1">
      <c r="G203" s="182"/>
      <c r="H203" s="182"/>
      <c r="I203" s="182"/>
      <c r="J203" s="1"/>
      <c r="K203" s="1"/>
      <c r="L203" s="1"/>
      <c r="M203" s="1"/>
      <c r="N203" s="1"/>
    </row>
    <row r="204" spans="7:14" s="181" customFormat="1">
      <c r="G204" s="182"/>
      <c r="H204" s="182"/>
      <c r="I204" s="182"/>
      <c r="J204" s="1"/>
      <c r="K204" s="1"/>
      <c r="L204" s="1"/>
      <c r="M204" s="1"/>
      <c r="N204" s="1"/>
    </row>
    <row r="205" spans="7:14" s="181" customFormat="1">
      <c r="G205" s="182"/>
      <c r="H205" s="182"/>
      <c r="I205" s="182"/>
      <c r="J205" s="1"/>
      <c r="K205" s="1"/>
      <c r="L205" s="1"/>
      <c r="M205" s="1"/>
      <c r="N205" s="1"/>
    </row>
    <row r="206" spans="7:14" s="181" customFormat="1">
      <c r="G206" s="182"/>
      <c r="H206" s="182"/>
      <c r="I206" s="182"/>
      <c r="J206" s="1"/>
      <c r="K206" s="1"/>
      <c r="L206" s="1"/>
      <c r="M206" s="1"/>
      <c r="N206" s="1"/>
    </row>
    <row r="207" spans="7:14" s="181" customFormat="1">
      <c r="G207" s="182"/>
      <c r="H207" s="182"/>
      <c r="I207" s="182"/>
      <c r="J207" s="1"/>
      <c r="K207" s="1"/>
      <c r="L207" s="1"/>
      <c r="M207" s="1"/>
      <c r="N207" s="1"/>
    </row>
    <row r="208" spans="7:14" s="181" customFormat="1">
      <c r="G208" s="182"/>
      <c r="H208" s="182"/>
      <c r="I208" s="182"/>
      <c r="J208" s="1"/>
      <c r="K208" s="1"/>
      <c r="L208" s="1"/>
      <c r="M208" s="1"/>
      <c r="N208" s="1"/>
    </row>
    <row r="209" spans="7:14" s="181" customFormat="1">
      <c r="G209" s="182"/>
      <c r="H209" s="182"/>
      <c r="I209" s="182"/>
      <c r="J209" s="1"/>
      <c r="K209" s="1"/>
      <c r="L209" s="1"/>
      <c r="M209" s="1"/>
      <c r="N209" s="1"/>
    </row>
    <row r="210" spans="7:14" s="181" customFormat="1">
      <c r="G210" s="182"/>
      <c r="H210" s="182"/>
      <c r="I210" s="182"/>
      <c r="J210" s="1"/>
      <c r="K210" s="1"/>
      <c r="L210" s="1"/>
      <c r="M210" s="1"/>
      <c r="N210" s="1"/>
    </row>
    <row r="211" spans="7:14" s="181" customFormat="1">
      <c r="G211" s="182"/>
      <c r="H211" s="182"/>
      <c r="I211" s="182"/>
      <c r="J211" s="1"/>
      <c r="K211" s="1"/>
      <c r="L211" s="1"/>
      <c r="M211" s="1"/>
      <c r="N211" s="1"/>
    </row>
    <row r="212" spans="7:14" s="181" customFormat="1">
      <c r="G212" s="182"/>
      <c r="H212" s="182"/>
      <c r="I212" s="182"/>
      <c r="J212" s="1"/>
      <c r="K212" s="1"/>
      <c r="L212" s="1"/>
      <c r="M212" s="1"/>
      <c r="N212" s="1"/>
    </row>
    <row r="213" spans="7:14" s="181" customFormat="1">
      <c r="G213" s="182"/>
      <c r="H213" s="182"/>
      <c r="I213" s="182"/>
      <c r="J213" s="1"/>
      <c r="K213" s="1"/>
      <c r="L213" s="1"/>
      <c r="M213" s="1"/>
      <c r="N213" s="1"/>
    </row>
    <row r="214" spans="7:14" s="181" customFormat="1">
      <c r="G214" s="182"/>
      <c r="H214" s="182"/>
      <c r="I214" s="182"/>
      <c r="J214" s="1"/>
      <c r="K214" s="1"/>
      <c r="L214" s="1"/>
      <c r="M214" s="1"/>
      <c r="N214" s="1"/>
    </row>
    <row r="215" spans="7:14" s="181" customFormat="1">
      <c r="G215" s="182"/>
      <c r="H215" s="182"/>
      <c r="I215" s="182"/>
      <c r="J215" s="1"/>
      <c r="K215" s="1"/>
      <c r="L215" s="1"/>
      <c r="M215" s="1"/>
      <c r="N215" s="1"/>
    </row>
    <row r="216" spans="7:14" s="181" customFormat="1">
      <c r="G216" s="182"/>
      <c r="H216" s="182"/>
      <c r="I216" s="182"/>
      <c r="J216" s="1"/>
      <c r="K216" s="1"/>
      <c r="L216" s="1"/>
      <c r="M216" s="1"/>
      <c r="N216" s="1"/>
    </row>
    <row r="217" spans="7:14" s="181" customFormat="1">
      <c r="G217" s="182"/>
      <c r="H217" s="182"/>
      <c r="I217" s="182"/>
      <c r="J217" s="1"/>
      <c r="K217" s="1"/>
      <c r="L217" s="1"/>
      <c r="M217" s="1"/>
      <c r="N217" s="1"/>
    </row>
    <row r="218" spans="7:14" s="181" customFormat="1">
      <c r="G218" s="182"/>
      <c r="H218" s="182"/>
      <c r="I218" s="182"/>
      <c r="J218" s="1"/>
      <c r="K218" s="1"/>
      <c r="L218" s="1"/>
      <c r="M218" s="1"/>
      <c r="N218" s="1"/>
    </row>
    <row r="219" spans="7:14" s="181" customFormat="1">
      <c r="G219" s="182"/>
      <c r="H219" s="182"/>
      <c r="I219" s="182"/>
      <c r="J219" s="1"/>
      <c r="K219" s="1"/>
      <c r="L219" s="1"/>
      <c r="M219" s="1"/>
      <c r="N219" s="1"/>
    </row>
    <row r="220" spans="7:14" s="181" customFormat="1">
      <c r="G220" s="182"/>
      <c r="H220" s="182"/>
      <c r="I220" s="182"/>
      <c r="J220" s="1"/>
      <c r="K220" s="1"/>
      <c r="L220" s="1"/>
      <c r="M220" s="1"/>
      <c r="N220" s="1"/>
    </row>
    <row r="221" spans="7:14" s="181" customFormat="1">
      <c r="G221" s="182"/>
      <c r="H221" s="182"/>
      <c r="I221" s="182"/>
      <c r="J221" s="1"/>
      <c r="K221" s="1"/>
      <c r="L221" s="1"/>
      <c r="M221" s="1"/>
      <c r="N221" s="1"/>
    </row>
    <row r="222" spans="7:14" s="181" customFormat="1">
      <c r="G222" s="182"/>
      <c r="H222" s="182"/>
      <c r="I222" s="182"/>
      <c r="J222" s="1"/>
      <c r="K222" s="1"/>
      <c r="L222" s="1"/>
      <c r="M222" s="1"/>
      <c r="N222" s="1"/>
    </row>
    <row r="223" spans="7:14" s="181" customFormat="1">
      <c r="G223" s="182"/>
      <c r="H223" s="182"/>
      <c r="I223" s="182"/>
      <c r="J223" s="1"/>
      <c r="K223" s="1"/>
      <c r="L223" s="1"/>
      <c r="M223" s="1"/>
      <c r="N223" s="1"/>
    </row>
    <row r="224" spans="7:14" s="181" customFormat="1">
      <c r="G224" s="182"/>
      <c r="H224" s="182"/>
      <c r="I224" s="182"/>
      <c r="J224" s="1"/>
      <c r="K224" s="1"/>
      <c r="L224" s="1"/>
      <c r="M224" s="1"/>
      <c r="N224" s="1"/>
    </row>
    <row r="225" spans="7:14" s="181" customFormat="1">
      <c r="G225" s="182"/>
      <c r="H225" s="182"/>
      <c r="I225" s="182"/>
      <c r="J225" s="1"/>
      <c r="K225" s="1"/>
      <c r="L225" s="1"/>
      <c r="M225" s="1"/>
      <c r="N225" s="1"/>
    </row>
    <row r="226" spans="7:14" s="181" customFormat="1">
      <c r="G226" s="182"/>
      <c r="H226" s="182"/>
      <c r="I226" s="182"/>
      <c r="J226" s="1"/>
      <c r="K226" s="1"/>
      <c r="L226" s="1"/>
      <c r="M226" s="1"/>
      <c r="N226" s="1"/>
    </row>
    <row r="227" spans="7:14" s="181" customFormat="1">
      <c r="G227" s="182"/>
      <c r="H227" s="182"/>
      <c r="I227" s="182"/>
      <c r="J227" s="1"/>
      <c r="K227" s="1"/>
      <c r="L227" s="1"/>
      <c r="M227" s="1"/>
      <c r="N227" s="1"/>
    </row>
    <row r="228" spans="7:14" s="181" customFormat="1">
      <c r="G228" s="182"/>
      <c r="H228" s="182"/>
      <c r="I228" s="182"/>
      <c r="J228" s="1"/>
      <c r="K228" s="1"/>
      <c r="L228" s="1"/>
      <c r="M228" s="1"/>
      <c r="N228" s="1"/>
    </row>
    <row r="229" spans="7:14" s="181" customFormat="1">
      <c r="G229" s="182"/>
      <c r="H229" s="182"/>
      <c r="I229" s="182"/>
      <c r="J229" s="1"/>
      <c r="K229" s="1"/>
      <c r="L229" s="1"/>
      <c r="M229" s="1"/>
      <c r="N229" s="1"/>
    </row>
    <row r="230" spans="7:14" s="181" customFormat="1">
      <c r="G230" s="182"/>
      <c r="H230" s="182"/>
      <c r="I230" s="182"/>
      <c r="J230" s="1"/>
      <c r="K230" s="1"/>
      <c r="L230" s="1"/>
      <c r="M230" s="1"/>
      <c r="N230" s="1"/>
    </row>
    <row r="231" spans="7:14" s="181" customFormat="1">
      <c r="G231" s="182"/>
      <c r="H231" s="182"/>
      <c r="I231" s="182"/>
      <c r="J231" s="1"/>
      <c r="K231" s="1"/>
      <c r="L231" s="1"/>
      <c r="M231" s="1"/>
      <c r="N231" s="1"/>
    </row>
    <row r="232" spans="7:14" s="181" customFormat="1">
      <c r="G232" s="182"/>
      <c r="H232" s="182"/>
      <c r="I232" s="182"/>
      <c r="J232" s="1"/>
      <c r="K232" s="1"/>
      <c r="L232" s="1"/>
      <c r="M232" s="1"/>
      <c r="N232" s="1"/>
    </row>
    <row r="233" spans="7:14" s="181" customFormat="1">
      <c r="G233" s="182"/>
      <c r="H233" s="182"/>
      <c r="I233" s="182"/>
      <c r="J233" s="1"/>
      <c r="K233" s="1"/>
      <c r="L233" s="1"/>
      <c r="M233" s="1"/>
      <c r="N233" s="1"/>
    </row>
    <row r="234" spans="7:14" s="181" customFormat="1">
      <c r="G234" s="182"/>
      <c r="H234" s="182"/>
      <c r="I234" s="182"/>
      <c r="J234" s="1"/>
      <c r="K234" s="1"/>
      <c r="L234" s="1"/>
      <c r="M234" s="1"/>
      <c r="N234" s="1"/>
    </row>
    <row r="235" spans="7:14" s="181" customFormat="1">
      <c r="G235" s="182"/>
      <c r="H235" s="182"/>
      <c r="I235" s="182"/>
      <c r="J235" s="1"/>
      <c r="K235" s="1"/>
      <c r="L235" s="1"/>
      <c r="M235" s="1"/>
      <c r="N235" s="1"/>
    </row>
    <row r="236" spans="7:14" s="181" customFormat="1">
      <c r="G236" s="182"/>
      <c r="H236" s="182"/>
      <c r="I236" s="182"/>
      <c r="J236" s="1"/>
      <c r="K236" s="1"/>
      <c r="L236" s="1"/>
      <c r="M236" s="1"/>
      <c r="N236" s="1"/>
    </row>
    <row r="237" spans="7:14" s="181" customFormat="1">
      <c r="G237" s="182"/>
      <c r="H237" s="182"/>
      <c r="I237" s="182"/>
      <c r="J237" s="1"/>
      <c r="K237" s="1"/>
      <c r="L237" s="1"/>
      <c r="M237" s="1"/>
      <c r="N237" s="1"/>
    </row>
    <row r="238" spans="7:14" s="181" customFormat="1">
      <c r="G238" s="182"/>
      <c r="H238" s="182"/>
      <c r="I238" s="182"/>
      <c r="J238" s="1"/>
      <c r="K238" s="1"/>
      <c r="L238" s="1"/>
      <c r="M238" s="1"/>
      <c r="N238" s="1"/>
    </row>
    <row r="239" spans="7:14" s="181" customFormat="1">
      <c r="G239" s="182"/>
      <c r="H239" s="182"/>
      <c r="I239" s="182"/>
      <c r="J239" s="1"/>
      <c r="K239" s="1"/>
      <c r="L239" s="1"/>
      <c r="M239" s="1"/>
      <c r="N239" s="1"/>
    </row>
    <row r="240" spans="7:14" s="181" customFormat="1">
      <c r="G240" s="182"/>
      <c r="H240" s="182"/>
      <c r="I240" s="182"/>
      <c r="J240" s="1"/>
      <c r="K240" s="1"/>
      <c r="L240" s="1"/>
      <c r="M240" s="1"/>
      <c r="N240" s="1"/>
    </row>
    <row r="241" spans="7:14" s="181" customFormat="1">
      <c r="G241" s="182"/>
      <c r="H241" s="182"/>
      <c r="I241" s="182"/>
      <c r="J241" s="1"/>
      <c r="K241" s="1"/>
      <c r="L241" s="1"/>
      <c r="M241" s="1"/>
      <c r="N241" s="1"/>
    </row>
    <row r="242" spans="7:14" s="181" customFormat="1">
      <c r="G242" s="182"/>
      <c r="H242" s="182"/>
      <c r="I242" s="182"/>
      <c r="J242" s="1"/>
      <c r="K242" s="1"/>
      <c r="L242" s="1"/>
      <c r="M242" s="1"/>
      <c r="N242" s="1"/>
    </row>
    <row r="243" spans="7:14" s="181" customFormat="1">
      <c r="G243" s="182"/>
      <c r="H243" s="182"/>
      <c r="I243" s="182"/>
      <c r="J243" s="1"/>
      <c r="K243" s="1"/>
      <c r="L243" s="1"/>
      <c r="M243" s="1"/>
      <c r="N243" s="1"/>
    </row>
    <row r="244" spans="7:14" s="181" customFormat="1">
      <c r="G244" s="182"/>
      <c r="H244" s="182"/>
      <c r="I244" s="182"/>
      <c r="J244" s="1"/>
      <c r="K244" s="1"/>
      <c r="L244" s="1"/>
      <c r="M244" s="1"/>
      <c r="N244" s="1"/>
    </row>
    <row r="245" spans="7:14" s="181" customFormat="1">
      <c r="G245" s="182"/>
      <c r="H245" s="182"/>
      <c r="I245" s="182"/>
      <c r="J245" s="1"/>
      <c r="K245" s="1"/>
      <c r="L245" s="1"/>
      <c r="M245" s="1"/>
      <c r="N245" s="1"/>
    </row>
    <row r="246" spans="7:14" s="181" customFormat="1">
      <c r="G246" s="182"/>
      <c r="H246" s="182"/>
      <c r="I246" s="182"/>
      <c r="J246" s="1"/>
      <c r="K246" s="1"/>
      <c r="L246" s="1"/>
      <c r="M246" s="1"/>
      <c r="N246" s="1"/>
    </row>
    <row r="247" spans="7:14" s="181" customFormat="1">
      <c r="G247" s="182"/>
      <c r="H247" s="182"/>
      <c r="I247" s="182"/>
      <c r="J247" s="1"/>
      <c r="K247" s="1"/>
      <c r="L247" s="1"/>
      <c r="M247" s="1"/>
      <c r="N247" s="1"/>
    </row>
    <row r="248" spans="7:14" s="181" customFormat="1">
      <c r="G248" s="182"/>
      <c r="H248" s="182"/>
      <c r="I248" s="182"/>
      <c r="J248" s="1"/>
      <c r="K248" s="1"/>
      <c r="L248" s="1"/>
      <c r="M248" s="1"/>
      <c r="N248" s="1"/>
    </row>
    <row r="249" spans="7:14" s="181" customFormat="1">
      <c r="G249" s="182"/>
      <c r="H249" s="182"/>
      <c r="I249" s="182"/>
      <c r="J249" s="1"/>
      <c r="K249" s="1"/>
      <c r="L249" s="1"/>
      <c r="M249" s="1"/>
      <c r="N249" s="1"/>
    </row>
    <row r="250" spans="7:14" s="181" customFormat="1">
      <c r="G250" s="182"/>
      <c r="H250" s="182"/>
      <c r="I250" s="182"/>
      <c r="J250" s="1"/>
      <c r="K250" s="1"/>
      <c r="L250" s="1"/>
      <c r="M250" s="1"/>
      <c r="N250" s="1"/>
    </row>
    <row r="251" spans="7:14" s="181" customFormat="1">
      <c r="G251" s="182"/>
      <c r="H251" s="182"/>
      <c r="I251" s="182"/>
      <c r="J251" s="1"/>
      <c r="K251" s="1"/>
      <c r="L251" s="1"/>
      <c r="M251" s="1"/>
      <c r="N251" s="1"/>
    </row>
    <row r="252" spans="7:14" s="181" customFormat="1">
      <c r="G252" s="182"/>
      <c r="H252" s="182"/>
      <c r="I252" s="182"/>
      <c r="J252" s="1"/>
      <c r="K252" s="1"/>
      <c r="L252" s="1"/>
      <c r="M252" s="1"/>
      <c r="N252" s="1"/>
    </row>
    <row r="253" spans="7:14" s="181" customFormat="1">
      <c r="G253" s="182"/>
      <c r="H253" s="182"/>
      <c r="I253" s="182"/>
      <c r="J253" s="1"/>
      <c r="K253" s="1"/>
      <c r="L253" s="1"/>
      <c r="M253" s="1"/>
      <c r="N253" s="1"/>
    </row>
    <row r="254" spans="7:14" s="181" customFormat="1">
      <c r="G254" s="182"/>
      <c r="H254" s="182"/>
      <c r="I254" s="182"/>
      <c r="J254" s="1"/>
      <c r="K254" s="1"/>
      <c r="L254" s="1"/>
      <c r="M254" s="1"/>
      <c r="N254" s="1"/>
    </row>
    <row r="255" spans="7:14" s="181" customFormat="1">
      <c r="G255" s="182"/>
      <c r="H255" s="182"/>
      <c r="I255" s="182"/>
      <c r="J255" s="1"/>
      <c r="K255" s="1"/>
      <c r="L255" s="1"/>
      <c r="M255" s="1"/>
      <c r="N255" s="1"/>
    </row>
    <row r="256" spans="7:14" s="181" customFormat="1">
      <c r="G256" s="182"/>
      <c r="H256" s="182"/>
      <c r="I256" s="182"/>
      <c r="J256" s="1"/>
      <c r="K256" s="1"/>
      <c r="L256" s="1"/>
      <c r="M256" s="1"/>
      <c r="N256" s="1"/>
    </row>
    <row r="257" spans="7:14" s="181" customFormat="1">
      <c r="G257" s="182"/>
      <c r="H257" s="182"/>
      <c r="I257" s="182"/>
      <c r="J257" s="1"/>
      <c r="K257" s="1"/>
      <c r="L257" s="1"/>
      <c r="M257" s="1"/>
      <c r="N257" s="1"/>
    </row>
    <row r="258" spans="7:14" s="181" customFormat="1">
      <c r="G258" s="182"/>
      <c r="H258" s="182"/>
      <c r="I258" s="182"/>
      <c r="J258" s="1"/>
      <c r="K258" s="1"/>
      <c r="L258" s="1"/>
      <c r="M258" s="1"/>
      <c r="N258" s="1"/>
    </row>
    <row r="259" spans="7:14" s="181" customFormat="1">
      <c r="G259" s="182"/>
      <c r="H259" s="182"/>
      <c r="I259" s="182"/>
      <c r="J259" s="1"/>
      <c r="K259" s="1"/>
      <c r="L259" s="1"/>
      <c r="M259" s="1"/>
      <c r="N259" s="1"/>
    </row>
    <row r="260" spans="7:14" s="181" customFormat="1">
      <c r="G260" s="182"/>
      <c r="H260" s="182"/>
      <c r="I260" s="182"/>
      <c r="J260" s="1"/>
      <c r="K260" s="1"/>
      <c r="L260" s="1"/>
      <c r="M260" s="1"/>
      <c r="N260" s="1"/>
    </row>
    <row r="261" spans="7:14" s="181" customFormat="1">
      <c r="G261" s="182"/>
      <c r="H261" s="182"/>
      <c r="I261" s="182"/>
      <c r="J261" s="1"/>
      <c r="K261" s="1"/>
      <c r="L261" s="1"/>
      <c r="M261" s="1"/>
      <c r="N261" s="1"/>
    </row>
    <row r="262" spans="7:14" s="181" customFormat="1">
      <c r="G262" s="182"/>
      <c r="H262" s="182"/>
      <c r="I262" s="182"/>
      <c r="J262" s="1"/>
      <c r="K262" s="1"/>
      <c r="L262" s="1"/>
      <c r="M262" s="1"/>
      <c r="N262" s="1"/>
    </row>
    <row r="263" spans="7:14" s="181" customFormat="1">
      <c r="G263" s="182"/>
      <c r="H263" s="182"/>
      <c r="I263" s="182"/>
      <c r="J263" s="1"/>
      <c r="K263" s="1"/>
      <c r="L263" s="1"/>
      <c r="M263" s="1"/>
      <c r="N263" s="1"/>
    </row>
    <row r="264" spans="7:14" s="181" customFormat="1">
      <c r="G264" s="182"/>
      <c r="H264" s="182"/>
      <c r="I264" s="182"/>
      <c r="J264" s="1"/>
      <c r="K264" s="1"/>
      <c r="L264" s="1"/>
      <c r="M264" s="1"/>
      <c r="N264" s="1"/>
    </row>
    <row r="265" spans="7:14" s="181" customFormat="1">
      <c r="G265" s="182"/>
      <c r="H265" s="182"/>
      <c r="I265" s="182"/>
      <c r="J265" s="1"/>
      <c r="K265" s="1"/>
      <c r="L265" s="1"/>
      <c r="M265" s="1"/>
      <c r="N265" s="1"/>
    </row>
    <row r="266" spans="7:14" s="181" customFormat="1">
      <c r="G266" s="182"/>
      <c r="H266" s="182"/>
      <c r="I266" s="182"/>
      <c r="J266" s="1"/>
      <c r="K266" s="1"/>
      <c r="L266" s="1"/>
      <c r="M266" s="1"/>
      <c r="N266" s="1"/>
    </row>
    <row r="267" spans="7:14" s="181" customFormat="1">
      <c r="G267" s="182"/>
      <c r="H267" s="182"/>
      <c r="I267" s="182"/>
      <c r="J267" s="1"/>
      <c r="K267" s="1"/>
      <c r="L267" s="1"/>
      <c r="M267" s="1"/>
      <c r="N267" s="1"/>
    </row>
    <row r="268" spans="7:14" s="181" customFormat="1">
      <c r="G268" s="182"/>
      <c r="H268" s="182"/>
      <c r="I268" s="182"/>
      <c r="J268" s="1"/>
      <c r="K268" s="1"/>
      <c r="L268" s="1"/>
      <c r="M268" s="1"/>
      <c r="N268" s="1"/>
    </row>
    <row r="269" spans="7:14" s="181" customFormat="1">
      <c r="G269" s="182"/>
      <c r="H269" s="182"/>
      <c r="I269" s="182"/>
      <c r="J269" s="1"/>
      <c r="K269" s="1"/>
      <c r="L269" s="1"/>
      <c r="M269" s="1"/>
      <c r="N269" s="1"/>
    </row>
    <row r="270" spans="7:14" s="181" customFormat="1">
      <c r="G270" s="182"/>
      <c r="H270" s="182"/>
      <c r="I270" s="182"/>
      <c r="J270" s="1"/>
      <c r="K270" s="1"/>
      <c r="L270" s="1"/>
      <c r="M270" s="1"/>
      <c r="N270" s="1"/>
    </row>
    <row r="271" spans="7:14" s="181" customFormat="1">
      <c r="G271" s="182"/>
      <c r="H271" s="182"/>
      <c r="I271" s="182"/>
      <c r="J271" s="1"/>
      <c r="K271" s="1"/>
      <c r="L271" s="1"/>
      <c r="M271" s="1"/>
      <c r="N271" s="1"/>
    </row>
    <row r="272" spans="7:14" s="181" customFormat="1">
      <c r="G272" s="182"/>
      <c r="H272" s="182"/>
      <c r="I272" s="182"/>
      <c r="J272" s="1"/>
      <c r="K272" s="1"/>
      <c r="L272" s="1"/>
      <c r="M272" s="1"/>
      <c r="N272" s="1"/>
    </row>
    <row r="273" spans="7:14" s="181" customFormat="1">
      <c r="G273" s="182"/>
      <c r="H273" s="182"/>
      <c r="I273" s="182"/>
      <c r="J273" s="1"/>
      <c r="K273" s="1"/>
      <c r="L273" s="1"/>
      <c r="M273" s="1"/>
      <c r="N273" s="1"/>
    </row>
    <row r="274" spans="7:14" s="181" customFormat="1">
      <c r="G274" s="182"/>
      <c r="H274" s="182"/>
      <c r="I274" s="182"/>
      <c r="J274" s="1"/>
      <c r="K274" s="1"/>
      <c r="L274" s="1"/>
      <c r="M274" s="1"/>
      <c r="N274" s="1"/>
    </row>
    <row r="275" spans="7:14" s="181" customFormat="1">
      <c r="G275" s="182"/>
      <c r="H275" s="182"/>
      <c r="I275" s="182"/>
      <c r="J275" s="1"/>
      <c r="K275" s="1"/>
      <c r="L275" s="1"/>
      <c r="M275" s="1"/>
      <c r="N275" s="1"/>
    </row>
    <row r="276" spans="7:14" s="181" customFormat="1">
      <c r="G276" s="182"/>
      <c r="H276" s="182"/>
      <c r="I276" s="182"/>
      <c r="J276" s="1"/>
      <c r="K276" s="1"/>
      <c r="L276" s="1"/>
      <c r="M276" s="1"/>
      <c r="N276" s="1"/>
    </row>
    <row r="277" spans="7:14" s="181" customFormat="1">
      <c r="G277" s="182"/>
      <c r="H277" s="182"/>
      <c r="I277" s="182"/>
      <c r="J277" s="1"/>
      <c r="K277" s="1"/>
      <c r="L277" s="1"/>
      <c r="M277" s="1"/>
      <c r="N277" s="1"/>
    </row>
    <row r="278" spans="7:14" s="181" customFormat="1">
      <c r="G278" s="182"/>
      <c r="H278" s="182"/>
      <c r="I278" s="182"/>
      <c r="J278" s="1"/>
      <c r="K278" s="1"/>
      <c r="L278" s="1"/>
      <c r="M278" s="1"/>
      <c r="N278" s="1"/>
    </row>
    <row r="279" spans="7:14" s="181" customFormat="1">
      <c r="G279" s="182"/>
      <c r="H279" s="182"/>
      <c r="I279" s="182"/>
      <c r="J279" s="1"/>
      <c r="K279" s="1"/>
      <c r="L279" s="1"/>
      <c r="M279" s="1"/>
      <c r="N279" s="1"/>
    </row>
    <row r="280" spans="7:14" s="181" customFormat="1">
      <c r="G280" s="182"/>
      <c r="H280" s="182"/>
      <c r="I280" s="182"/>
      <c r="J280" s="1"/>
      <c r="K280" s="1"/>
      <c r="L280" s="1"/>
      <c r="M280" s="1"/>
      <c r="N280" s="1"/>
    </row>
    <row r="281" spans="7:14" s="181" customFormat="1">
      <c r="G281" s="182"/>
      <c r="H281" s="182"/>
      <c r="I281" s="182"/>
      <c r="J281" s="1"/>
      <c r="K281" s="1"/>
      <c r="L281" s="1"/>
      <c r="M281" s="1"/>
      <c r="N281" s="1"/>
    </row>
    <row r="282" spans="7:14" s="181" customFormat="1">
      <c r="G282" s="182"/>
      <c r="H282" s="182"/>
      <c r="I282" s="182"/>
      <c r="J282" s="1"/>
      <c r="K282" s="1"/>
      <c r="L282" s="1"/>
      <c r="M282" s="1"/>
      <c r="N282" s="1"/>
    </row>
    <row r="283" spans="7:14" s="181" customFormat="1">
      <c r="G283" s="182"/>
      <c r="H283" s="182"/>
      <c r="I283" s="182"/>
      <c r="J283" s="1"/>
      <c r="K283" s="1"/>
      <c r="L283" s="1"/>
      <c r="M283" s="1"/>
      <c r="N283" s="1"/>
    </row>
    <row r="284" spans="7:14" s="181" customFormat="1">
      <c r="G284" s="182"/>
      <c r="H284" s="182"/>
      <c r="I284" s="182"/>
      <c r="J284" s="1"/>
      <c r="K284" s="1"/>
      <c r="L284" s="1"/>
      <c r="M284" s="1"/>
      <c r="N284" s="1"/>
    </row>
    <row r="285" spans="7:14" s="181" customFormat="1">
      <c r="G285" s="182"/>
      <c r="H285" s="182"/>
      <c r="I285" s="182"/>
      <c r="J285" s="1"/>
      <c r="K285" s="1"/>
      <c r="L285" s="1"/>
      <c r="M285" s="1"/>
      <c r="N285" s="1"/>
    </row>
    <row r="286" spans="7:14" s="181" customFormat="1">
      <c r="G286" s="182"/>
      <c r="H286" s="182"/>
      <c r="I286" s="182"/>
      <c r="J286" s="1"/>
      <c r="K286" s="1"/>
      <c r="L286" s="1"/>
      <c r="M286" s="1"/>
      <c r="N286" s="1"/>
    </row>
    <row r="287" spans="7:14" s="181" customFormat="1">
      <c r="G287" s="182"/>
      <c r="H287" s="182"/>
      <c r="I287" s="182"/>
      <c r="J287" s="1"/>
      <c r="K287" s="1"/>
      <c r="L287" s="1"/>
      <c r="M287" s="1"/>
      <c r="N287" s="1"/>
    </row>
    <row r="288" spans="7:14" s="181" customFormat="1">
      <c r="G288" s="182"/>
      <c r="H288" s="182"/>
      <c r="I288" s="182"/>
      <c r="J288" s="1"/>
      <c r="K288" s="1"/>
      <c r="L288" s="1"/>
      <c r="M288" s="1"/>
      <c r="N288" s="1"/>
    </row>
    <row r="289" spans="7:14" s="181" customFormat="1">
      <c r="G289" s="182"/>
      <c r="H289" s="182"/>
      <c r="I289" s="182"/>
      <c r="J289" s="1"/>
      <c r="K289" s="1"/>
      <c r="L289" s="1"/>
      <c r="M289" s="1"/>
      <c r="N289" s="1"/>
    </row>
    <row r="290" spans="7:14" s="181" customFormat="1">
      <c r="G290" s="182"/>
      <c r="H290" s="182"/>
      <c r="I290" s="182"/>
      <c r="J290" s="1"/>
      <c r="K290" s="1"/>
      <c r="L290" s="1"/>
      <c r="M290" s="1"/>
      <c r="N290" s="1"/>
    </row>
    <row r="291" spans="7:14" s="181" customFormat="1">
      <c r="G291" s="182"/>
      <c r="H291" s="182"/>
      <c r="I291" s="182"/>
      <c r="J291" s="1"/>
      <c r="K291" s="1"/>
      <c r="L291" s="1"/>
      <c r="M291" s="1"/>
      <c r="N291" s="1"/>
    </row>
    <row r="292" spans="7:14" s="181" customFormat="1">
      <c r="G292" s="182"/>
      <c r="H292" s="182"/>
      <c r="I292" s="182"/>
      <c r="J292" s="1"/>
      <c r="K292" s="1"/>
      <c r="L292" s="1"/>
      <c r="M292" s="1"/>
      <c r="N292" s="1"/>
    </row>
    <row r="293" spans="7:14" s="181" customFormat="1">
      <c r="G293" s="182"/>
      <c r="H293" s="182"/>
      <c r="I293" s="182"/>
      <c r="J293" s="1"/>
      <c r="K293" s="1"/>
      <c r="L293" s="1"/>
      <c r="M293" s="1"/>
      <c r="N293" s="1"/>
    </row>
    <row r="294" spans="7:14" s="181" customFormat="1">
      <c r="G294" s="182"/>
      <c r="H294" s="182"/>
      <c r="I294" s="182"/>
      <c r="J294" s="1"/>
      <c r="K294" s="1"/>
      <c r="L294" s="1"/>
      <c r="M294" s="1"/>
      <c r="N294" s="1"/>
    </row>
    <row r="295" spans="7:14" s="181" customFormat="1">
      <c r="G295" s="182"/>
      <c r="H295" s="182"/>
      <c r="I295" s="182"/>
      <c r="J295" s="1"/>
      <c r="K295" s="1"/>
      <c r="L295" s="1"/>
      <c r="M295" s="1"/>
      <c r="N295" s="1"/>
    </row>
    <row r="296" spans="7:14" s="181" customFormat="1">
      <c r="G296" s="182"/>
      <c r="H296" s="182"/>
      <c r="I296" s="182"/>
      <c r="J296" s="1"/>
      <c r="K296" s="1"/>
      <c r="L296" s="1"/>
      <c r="M296" s="1"/>
      <c r="N296" s="1"/>
    </row>
    <row r="297" spans="7:14" s="181" customFormat="1">
      <c r="G297" s="182"/>
      <c r="H297" s="182"/>
      <c r="I297" s="182"/>
      <c r="J297" s="1"/>
      <c r="K297" s="1"/>
      <c r="L297" s="1"/>
      <c r="M297" s="1"/>
      <c r="N297" s="1"/>
    </row>
    <row r="298" spans="7:14" s="181" customFormat="1">
      <c r="G298" s="182"/>
      <c r="H298" s="182"/>
      <c r="I298" s="182"/>
      <c r="J298" s="1"/>
      <c r="K298" s="1"/>
      <c r="L298" s="1"/>
      <c r="M298" s="1"/>
      <c r="N298" s="1"/>
    </row>
    <row r="299" spans="7:14" s="181" customFormat="1">
      <c r="G299" s="182"/>
      <c r="H299" s="182"/>
      <c r="I299" s="182"/>
      <c r="J299" s="1"/>
      <c r="K299" s="1"/>
      <c r="L299" s="1"/>
      <c r="M299" s="1"/>
      <c r="N299" s="1"/>
    </row>
    <row r="300" spans="7:14" s="181" customFormat="1">
      <c r="G300" s="182"/>
      <c r="H300" s="182"/>
      <c r="I300" s="182"/>
      <c r="J300" s="1"/>
      <c r="K300" s="1"/>
      <c r="L300" s="1"/>
      <c r="M300" s="1"/>
      <c r="N300" s="1"/>
    </row>
    <row r="301" spans="7:14" s="181" customFormat="1">
      <c r="G301" s="182"/>
      <c r="H301" s="182"/>
      <c r="I301" s="182"/>
      <c r="J301" s="1"/>
      <c r="K301" s="1"/>
      <c r="L301" s="1"/>
      <c r="M301" s="1"/>
      <c r="N301" s="1"/>
    </row>
    <row r="302" spans="7:14" s="181" customFormat="1">
      <c r="G302" s="182"/>
      <c r="H302" s="182"/>
      <c r="I302" s="182"/>
      <c r="J302" s="1"/>
      <c r="K302" s="1"/>
      <c r="L302" s="1"/>
      <c r="M302" s="1"/>
      <c r="N302" s="1"/>
    </row>
    <row r="303" spans="7:14" s="181" customFormat="1">
      <c r="G303" s="182"/>
      <c r="H303" s="182"/>
      <c r="I303" s="182"/>
      <c r="J303" s="1"/>
      <c r="K303" s="1"/>
      <c r="L303" s="1"/>
      <c r="M303" s="1"/>
      <c r="N303" s="1"/>
    </row>
    <row r="304" spans="7:14" s="181" customFormat="1">
      <c r="G304" s="182"/>
      <c r="H304" s="182"/>
      <c r="I304" s="182"/>
      <c r="J304" s="1"/>
      <c r="K304" s="1"/>
      <c r="L304" s="1"/>
      <c r="M304" s="1"/>
      <c r="N304" s="1"/>
    </row>
    <row r="305" spans="7:14" s="181" customFormat="1">
      <c r="G305" s="182"/>
      <c r="H305" s="182"/>
      <c r="I305" s="182"/>
      <c r="J305" s="1"/>
      <c r="K305" s="1"/>
      <c r="L305" s="1"/>
      <c r="M305" s="1"/>
      <c r="N305" s="1"/>
    </row>
    <row r="306" spans="7:14" s="181" customFormat="1">
      <c r="G306" s="182"/>
      <c r="H306" s="182"/>
      <c r="I306" s="182"/>
      <c r="J306" s="1"/>
      <c r="K306" s="1"/>
      <c r="L306" s="1"/>
      <c r="M306" s="1"/>
      <c r="N306" s="1"/>
    </row>
    <row r="307" spans="7:14" s="181" customFormat="1">
      <c r="G307" s="182"/>
      <c r="H307" s="182"/>
      <c r="I307" s="182"/>
      <c r="J307" s="1"/>
      <c r="K307" s="1"/>
      <c r="L307" s="1"/>
      <c r="M307" s="1"/>
      <c r="N307" s="1"/>
    </row>
    <row r="308" spans="7:14" s="181" customFormat="1">
      <c r="G308" s="182"/>
      <c r="H308" s="182"/>
      <c r="I308" s="182"/>
      <c r="J308" s="1"/>
      <c r="K308" s="1"/>
      <c r="L308" s="1"/>
      <c r="M308" s="1"/>
      <c r="N308" s="1"/>
    </row>
    <row r="309" spans="7:14" s="181" customFormat="1">
      <c r="G309" s="182"/>
      <c r="H309" s="182"/>
      <c r="I309" s="182"/>
      <c r="J309" s="1"/>
      <c r="K309" s="1"/>
      <c r="L309" s="1"/>
      <c r="M309" s="1"/>
      <c r="N309" s="1"/>
    </row>
    <row r="310" spans="7:14" s="181" customFormat="1">
      <c r="G310" s="182"/>
      <c r="H310" s="182"/>
      <c r="I310" s="182"/>
      <c r="J310" s="1"/>
      <c r="K310" s="1"/>
      <c r="L310" s="1"/>
      <c r="M310" s="1"/>
      <c r="N310" s="1"/>
    </row>
    <row r="311" spans="7:14" s="181" customFormat="1">
      <c r="G311" s="182"/>
      <c r="H311" s="182"/>
      <c r="I311" s="182"/>
      <c r="J311" s="1"/>
      <c r="K311" s="1"/>
      <c r="L311" s="1"/>
      <c r="M311" s="1"/>
      <c r="N311" s="1"/>
    </row>
    <row r="312" spans="7:14" s="181" customFormat="1">
      <c r="G312" s="182"/>
      <c r="H312" s="182"/>
      <c r="I312" s="182"/>
      <c r="J312" s="1"/>
      <c r="K312" s="1"/>
      <c r="L312" s="1"/>
      <c r="M312" s="1"/>
      <c r="N312" s="1"/>
    </row>
    <row r="313" spans="7:14" s="181" customFormat="1">
      <c r="G313" s="182"/>
      <c r="H313" s="182"/>
      <c r="I313" s="182"/>
      <c r="J313" s="1"/>
      <c r="K313" s="1"/>
      <c r="L313" s="1"/>
      <c r="M313" s="1"/>
      <c r="N313" s="1"/>
    </row>
    <row r="314" spans="7:14" s="181" customFormat="1">
      <c r="G314" s="182"/>
      <c r="H314" s="182"/>
      <c r="I314" s="182"/>
      <c r="J314" s="1"/>
      <c r="K314" s="1"/>
      <c r="L314" s="1"/>
      <c r="M314" s="1"/>
      <c r="N314" s="1"/>
    </row>
    <row r="315" spans="7:14" s="181" customFormat="1">
      <c r="G315" s="182"/>
      <c r="H315" s="182"/>
      <c r="I315" s="182"/>
      <c r="J315" s="1"/>
      <c r="K315" s="1"/>
      <c r="L315" s="1"/>
      <c r="M315" s="1"/>
      <c r="N315" s="1"/>
    </row>
    <row r="316" spans="7:14" s="181" customFormat="1">
      <c r="G316" s="182"/>
      <c r="H316" s="182"/>
      <c r="I316" s="182"/>
      <c r="J316" s="1"/>
      <c r="K316" s="1"/>
      <c r="L316" s="1"/>
      <c r="M316" s="1"/>
      <c r="N316" s="1"/>
    </row>
    <row r="317" spans="7:14" s="181" customFormat="1">
      <c r="G317" s="182"/>
      <c r="H317" s="182"/>
      <c r="I317" s="182"/>
      <c r="J317" s="1"/>
      <c r="K317" s="1"/>
      <c r="L317" s="1"/>
      <c r="M317" s="1"/>
      <c r="N317" s="1"/>
    </row>
    <row r="318" spans="7:14" s="181" customFormat="1">
      <c r="G318" s="182"/>
      <c r="H318" s="182"/>
      <c r="I318" s="182"/>
      <c r="J318" s="1"/>
      <c r="K318" s="1"/>
      <c r="L318" s="1"/>
      <c r="M318" s="1"/>
      <c r="N318" s="1"/>
    </row>
    <row r="319" spans="7:14" s="181" customFormat="1">
      <c r="G319" s="182"/>
      <c r="H319" s="182"/>
      <c r="I319" s="182"/>
      <c r="J319" s="1"/>
      <c r="K319" s="1"/>
      <c r="L319" s="1"/>
      <c r="M319" s="1"/>
      <c r="N319" s="1"/>
    </row>
    <row r="320" spans="7:14" s="181" customFormat="1">
      <c r="G320" s="182"/>
      <c r="H320" s="182"/>
      <c r="I320" s="182"/>
      <c r="J320" s="1"/>
      <c r="K320" s="1"/>
      <c r="L320" s="1"/>
      <c r="M320" s="1"/>
      <c r="N320" s="1"/>
    </row>
    <row r="321" spans="7:14" s="181" customFormat="1">
      <c r="G321" s="182"/>
      <c r="H321" s="182"/>
      <c r="I321" s="182"/>
      <c r="J321" s="1"/>
      <c r="K321" s="1"/>
      <c r="L321" s="1"/>
      <c r="M321" s="1"/>
      <c r="N321" s="1"/>
    </row>
    <row r="322" spans="7:14" s="181" customFormat="1">
      <c r="G322" s="182"/>
      <c r="H322" s="182"/>
      <c r="I322" s="182"/>
      <c r="J322" s="1"/>
      <c r="K322" s="1"/>
      <c r="L322" s="1"/>
      <c r="M322" s="1"/>
      <c r="N322" s="1"/>
    </row>
    <row r="323" spans="7:14" s="181" customFormat="1">
      <c r="G323" s="182"/>
      <c r="H323" s="182"/>
      <c r="I323" s="182"/>
      <c r="J323" s="1"/>
      <c r="K323" s="1"/>
      <c r="L323" s="1"/>
      <c r="M323" s="1"/>
      <c r="N323" s="1"/>
    </row>
    <row r="324" spans="7:14" s="181" customFormat="1">
      <c r="G324" s="182"/>
      <c r="H324" s="182"/>
      <c r="I324" s="182"/>
      <c r="J324" s="1"/>
      <c r="K324" s="1"/>
      <c r="L324" s="1"/>
      <c r="M324" s="1"/>
      <c r="N324" s="1"/>
    </row>
    <row r="325" spans="7:14" s="181" customFormat="1">
      <c r="G325" s="182"/>
      <c r="H325" s="182"/>
      <c r="I325" s="182"/>
      <c r="J325" s="1"/>
      <c r="K325" s="1"/>
      <c r="L325" s="1"/>
      <c r="M325" s="1"/>
      <c r="N325" s="1"/>
    </row>
    <row r="326" spans="7:14" s="181" customFormat="1">
      <c r="G326" s="182"/>
      <c r="H326" s="182"/>
      <c r="I326" s="182"/>
      <c r="J326" s="1"/>
      <c r="K326" s="1"/>
      <c r="L326" s="1"/>
      <c r="M326" s="1"/>
      <c r="N326" s="1"/>
    </row>
    <row r="327" spans="7:14" s="181" customFormat="1">
      <c r="G327" s="182"/>
      <c r="H327" s="182"/>
      <c r="I327" s="182"/>
      <c r="J327" s="1"/>
      <c r="K327" s="1"/>
      <c r="L327" s="1"/>
      <c r="M327" s="1"/>
      <c r="N327" s="1"/>
    </row>
    <row r="328" spans="7:14" s="181" customFormat="1">
      <c r="G328" s="182"/>
      <c r="H328" s="182"/>
      <c r="I328" s="182"/>
      <c r="J328" s="1"/>
      <c r="K328" s="1"/>
      <c r="L328" s="1"/>
      <c r="M328" s="1"/>
      <c r="N328" s="1"/>
    </row>
    <row r="329" spans="7:14" s="181" customFormat="1">
      <c r="G329" s="182"/>
      <c r="H329" s="182"/>
      <c r="I329" s="182"/>
      <c r="J329" s="1"/>
      <c r="K329" s="1"/>
      <c r="L329" s="1"/>
      <c r="M329" s="1"/>
      <c r="N329" s="1"/>
    </row>
    <row r="330" spans="7:14" s="181" customFormat="1">
      <c r="G330" s="182"/>
      <c r="H330" s="182"/>
      <c r="I330" s="182"/>
      <c r="J330" s="1"/>
      <c r="K330" s="1"/>
      <c r="L330" s="1"/>
      <c r="M330" s="1"/>
      <c r="N330" s="1"/>
    </row>
    <row r="331" spans="7:14" s="181" customFormat="1">
      <c r="G331" s="182"/>
      <c r="H331" s="182"/>
      <c r="I331" s="182"/>
      <c r="J331" s="1"/>
      <c r="K331" s="1"/>
      <c r="L331" s="1"/>
      <c r="M331" s="1"/>
      <c r="N331" s="1"/>
    </row>
    <row r="332" spans="7:14" s="181" customFormat="1">
      <c r="G332" s="182"/>
      <c r="H332" s="182"/>
      <c r="I332" s="182"/>
      <c r="J332" s="1"/>
      <c r="K332" s="1"/>
      <c r="L332" s="1"/>
      <c r="M332" s="1"/>
      <c r="N332" s="1"/>
    </row>
  </sheetData>
  <mergeCells count="17">
    <mergeCell ref="AM4:AP4"/>
    <mergeCell ref="H61:H74"/>
    <mergeCell ref="H6:H43"/>
    <mergeCell ref="H44:H60"/>
    <mergeCell ref="BO4:BR4"/>
    <mergeCell ref="S4:V4"/>
    <mergeCell ref="W4:Z4"/>
    <mergeCell ref="AA4:AD4"/>
    <mergeCell ref="AE4:AH4"/>
    <mergeCell ref="AI4:AL4"/>
    <mergeCell ref="BS4:BV4"/>
    <mergeCell ref="AQ4:AT4"/>
    <mergeCell ref="AU4:AX4"/>
    <mergeCell ref="AY4:BB4"/>
    <mergeCell ref="BC4:BF4"/>
    <mergeCell ref="BG4:BJ4"/>
    <mergeCell ref="BK4:BN4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cb6341-b684-4014-8bb4-4615f1a7caa5" xsi:nil="true"/>
    <lcf76f155ced4ddcb4097134ff3c332f xmlns="71841966-cead-4fec-9e4b-784be55b9b6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4D0C25DBBB5FA488FCAA38BB18EE2B9" ma:contentTypeVersion="11" ma:contentTypeDescription="새 문서를 만듭니다." ma:contentTypeScope="" ma:versionID="34b5525afa6602e40be06b5af1ece05f">
  <xsd:schema xmlns:xsd="http://www.w3.org/2001/XMLSchema" xmlns:xs="http://www.w3.org/2001/XMLSchema" xmlns:p="http://schemas.microsoft.com/office/2006/metadata/properties" xmlns:ns2="71841966-cead-4fec-9e4b-784be55b9b60" xmlns:ns3="56cb6341-b684-4014-8bb4-4615f1a7caa5" targetNamespace="http://schemas.microsoft.com/office/2006/metadata/properties" ma:root="true" ma:fieldsID="f55987be080c16e8318dd0af3e5b8213" ns2:_="" ns3:_="">
    <xsd:import namespace="71841966-cead-4fec-9e4b-784be55b9b60"/>
    <xsd:import namespace="56cb6341-b684-4014-8bb4-4615f1a7c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1966-cead-4fec-9e4b-784be55b9b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7ffac9f6-4b98-40ee-80b5-beec5dc617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b6341-b684-4014-8bb4-4615f1a7ca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1749a1-f85c-49c4-bd8e-873d18e74fcb}" ma:internalName="TaxCatchAll" ma:showField="CatchAllData" ma:web="56cb6341-b684-4014-8bb4-4615f1a7ca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25B62-2CA2-42B4-8050-1D974AC792A3}"/>
</file>

<file path=customXml/itemProps2.xml><?xml version="1.0" encoding="utf-8"?>
<ds:datastoreItem xmlns:ds="http://schemas.openxmlformats.org/officeDocument/2006/customXml" ds:itemID="{389C520F-2994-4123-A647-5670364DF787}"/>
</file>

<file path=customXml/itemProps3.xml><?xml version="1.0" encoding="utf-8"?>
<ds:datastoreItem xmlns:ds="http://schemas.openxmlformats.org/officeDocument/2006/customXml" ds:itemID="{6D5D9A65-5BBE-4FB9-B468-3B0958DC1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오 민경</cp:lastModifiedBy>
  <cp:revision/>
  <dcterms:created xsi:type="dcterms:W3CDTF">2024-02-23T01:47:51Z</dcterms:created>
  <dcterms:modified xsi:type="dcterms:W3CDTF">2026-09-09T06:32:06Z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0x01010024D0C25DBBB5FA488FCAA38BB18EE2B9</vt:lpwstr>
  </property>
  <property fmtid="{D5CDD505-2E9C-101B-9397-08002B2CF9AE}" pid="3" name="MediaServiceImageTags">
    <vt:lpwstr/>
  </property>
</Properties>
</file>